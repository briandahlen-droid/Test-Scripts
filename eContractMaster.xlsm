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4D1C537B-E38A-612A-F078-A93A15B4B7F4}"/>
  <workbookPr codeName="ThisWorkbook"/>
  <mc:AlternateContent xmlns:mc="http://schemas.openxmlformats.org/markup-compatibility/2006">
    <mc:Choice Requires="x15">
      <x15ac:absPath xmlns:x15ac="http://schemas.microsoft.com/office/spreadsheetml/2010/11/ac" url="C:\AI App Building\AI\DS_App\"/>
    </mc:Choice>
  </mc:AlternateContent>
  <xr:revisionPtr revIDLastSave="0" documentId="8_{775C01EB-BF4D-4651-895B-D8CE527D5B48}" xr6:coauthVersionLast="47" xr6:coauthVersionMax="47" xr10:uidLastSave="{00000000-0000-0000-0000-000000000000}"/>
  <bookViews>
    <workbookView xWindow="31920" yWindow="3120" windowWidth="21600" windowHeight="11235" tabRatio="587" activeTab="2" xr2:uid="{00000000-000D-0000-FFFF-FFFF00000000}"/>
  </bookViews>
  <sheets>
    <sheet name="Instructions" sheetId="7" r:id="rId1"/>
    <sheet name="Setup" sheetId="4" r:id="rId2"/>
    <sheet name="ProjectUnderstanding" sheetId="9" r:id="rId3"/>
    <sheet name="TaskTable" sheetId="1" r:id="rId4"/>
    <sheet name="Notes" sheetId="10" r:id="rId5"/>
    <sheet name="TaskDescriptions" sheetId="8" r:id="rId6"/>
    <sheet name="Billing" sheetId="11" r:id="rId7"/>
    <sheet name="Authorization" sheetId="12" r:id="rId8"/>
    <sheet name="RetainerInvc" sheetId="18" r:id="rId9"/>
    <sheet name="RateSched" sheetId="15" r:id="rId10"/>
    <sheet name="StdProvisions" sheetId="13" r:id="rId11"/>
    <sheet name="OfficeList" sheetId="19" r:id="rId12"/>
    <sheet name="Revisions" sheetId="17" r:id="rId13"/>
    <sheet name="Sheet1" sheetId="20" r:id="rId14"/>
  </sheets>
  <definedNames>
    <definedName name="_xlnm._FilterDatabase" localSheetId="7" hidden="1">Authorization!#REF!</definedName>
    <definedName name="_xlnm._FilterDatabase" localSheetId="6" hidden="1">Billing!$A$1:$A$1</definedName>
    <definedName name="_xlnm._FilterDatabase" localSheetId="4" hidden="1">Notes!#REF!</definedName>
    <definedName name="_xlnm._FilterDatabase" localSheetId="2" hidden="1">ProjectUnderstanding!$A$17:$A$56</definedName>
    <definedName name="_xlnm._FilterDatabase" localSheetId="9" hidden="1">RateSched!#REF!</definedName>
    <definedName name="_xlnm._FilterDatabase" localSheetId="8" hidden="1">RetainerInvc!#REF!</definedName>
    <definedName name="_xlnm._FilterDatabase" localSheetId="10" hidden="1">StdProvisions!$A$1:$A$1</definedName>
    <definedName name="_xlnm._FilterDatabase" localSheetId="5" hidden="1">TaskDescriptions!$A$1:$D$195</definedName>
    <definedName name="Acres">Setup!$C$42</definedName>
    <definedName name="ClientAddress1">Setup!$C$13</definedName>
    <definedName name="ClientAddress2">Setup!$C$14</definedName>
    <definedName name="ClientAddressCity">Setup!$C$15</definedName>
    <definedName name="ClientCompany">Setup!$C$12</definedName>
    <definedName name="ClientName">Setup!$C$11</definedName>
    <definedName name="Desc1">Setup!$C$19</definedName>
    <definedName name="Desc2">Setup!$C$20</definedName>
    <definedName name="Desc3">Setup!$C$21</definedName>
    <definedName name="EstHrlyRt">Setup!$C$28</definedName>
    <definedName name="ExpensePct">Setup!$C$23</definedName>
    <definedName name="KHAddress">Setup!$C$5</definedName>
    <definedName name="KHname1">Setup!$C$35</definedName>
    <definedName name="KHname2">Setup!$C$38</definedName>
    <definedName name="KHOffice">Setup!$C$4</definedName>
    <definedName name="KHphone">Setup!$C$6</definedName>
    <definedName name="KHtitle1">Setup!$C$36</definedName>
    <definedName name="KHtitle2">Setup!$C$39</definedName>
    <definedName name="LetterDate">Setup!$C$9</definedName>
    <definedName name="OtherExpPct">Setup!$C$24</definedName>
    <definedName name="_xlnm.Print_Area" localSheetId="7">Authorization!$A$1:$B$37</definedName>
    <definedName name="_xlnm.Print_Area" localSheetId="6">Billing!$A$1:$A$18</definedName>
    <definedName name="_xlnm.Print_Area" localSheetId="4">Notes!$A$1:$B$35</definedName>
    <definedName name="_xlnm.Print_Area" localSheetId="9">RateSched!$A$1:$C$25</definedName>
    <definedName name="_xlnm.Print_Area" localSheetId="10">StdProvisions!$A$1:$A$53</definedName>
    <definedName name="_xlnm.Print_Area" localSheetId="5">TaskDescriptions!$A$1:$A$195</definedName>
    <definedName name="_xlnm.Print_Area" localSheetId="3">TaskTable!$B$1:$F$134</definedName>
    <definedName name="_xlnm.Print_Titles" localSheetId="3">TaskTable!$3:$3</definedName>
    <definedName name="Retainer">Setup!$C$30</definedName>
    <definedName name="rngRetainerAmt">Authorization!$B$7</definedName>
    <definedName name="rngRetainerText">Authorization!$5:$12</definedName>
    <definedName name="rngSubtotalFees">TaskTable!$D$109</definedName>
    <definedName name="Salutation">Setup!$C$17</definedName>
    <definedName name="TaskDesc" localSheetId="2">ProjectUnderstanding!$A$18:$A$56</definedName>
    <definedName name="TaskDesc">TaskDescriptions!$A$2:$A$195</definedName>
    <definedName name="TaskFeeTable">TaskTable!$B$3:$F$122</definedName>
    <definedName name="TaxPct">Setup!$C$26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79" i="1" l="1"/>
  <c r="Z79" i="1" s="1"/>
  <c r="W79" i="1"/>
  <c r="C6" i="4"/>
  <c r="C5" i="4"/>
  <c r="H127" i="1" l="1"/>
  <c r="B127" i="1" s="1"/>
  <c r="A17" i="11"/>
  <c r="A5" i="11" l="1"/>
  <c r="B50" i="1" l="1"/>
  <c r="B51" i="1" s="1"/>
  <c r="B52" i="1" s="1"/>
  <c r="B53" i="1" s="1"/>
  <c r="B54" i="1" s="1"/>
  <c r="B55" i="1" s="1"/>
  <c r="B56" i="1" s="1"/>
  <c r="B57" i="1" s="1"/>
  <c r="B58" i="1" s="1"/>
  <c r="A4" i="13" l="1"/>
  <c r="AA107" i="1" l="1"/>
  <c r="Y107" i="1"/>
  <c r="V107" i="1"/>
  <c r="U107" i="1"/>
  <c r="T107" i="1"/>
  <c r="S107" i="1"/>
  <c r="R107" i="1"/>
  <c r="Q107" i="1"/>
  <c r="P107" i="1"/>
  <c r="O107" i="1"/>
  <c r="N107" i="1"/>
  <c r="AA98" i="1"/>
  <c r="Y98" i="1"/>
  <c r="V98" i="1"/>
  <c r="U98" i="1"/>
  <c r="T98" i="1"/>
  <c r="S98" i="1"/>
  <c r="R98" i="1"/>
  <c r="Q98" i="1"/>
  <c r="P98" i="1"/>
  <c r="O98" i="1"/>
  <c r="N98" i="1"/>
  <c r="AA87" i="1"/>
  <c r="Y87" i="1"/>
  <c r="V87" i="1"/>
  <c r="U87" i="1"/>
  <c r="T87" i="1"/>
  <c r="S87" i="1"/>
  <c r="R87" i="1"/>
  <c r="Q87" i="1"/>
  <c r="P87" i="1"/>
  <c r="O87" i="1"/>
  <c r="N87" i="1"/>
  <c r="AA81" i="1"/>
  <c r="Y81" i="1"/>
  <c r="V81" i="1"/>
  <c r="U81" i="1"/>
  <c r="T81" i="1"/>
  <c r="S81" i="1"/>
  <c r="R81" i="1"/>
  <c r="Q81" i="1"/>
  <c r="P81" i="1"/>
  <c r="O81" i="1"/>
  <c r="N81" i="1"/>
  <c r="AA48" i="1"/>
  <c r="Y48" i="1"/>
  <c r="V48" i="1"/>
  <c r="U48" i="1"/>
  <c r="T48" i="1"/>
  <c r="S48" i="1"/>
  <c r="R48" i="1"/>
  <c r="Q48" i="1"/>
  <c r="P48" i="1"/>
  <c r="O48" i="1"/>
  <c r="N48" i="1"/>
  <c r="AA36" i="1"/>
  <c r="Y36" i="1"/>
  <c r="V36" i="1"/>
  <c r="U36" i="1"/>
  <c r="T36" i="1"/>
  <c r="S36" i="1"/>
  <c r="R36" i="1"/>
  <c r="Q36" i="1"/>
  <c r="P36" i="1"/>
  <c r="O36" i="1"/>
  <c r="N36" i="1"/>
  <c r="AA25" i="1"/>
  <c r="Y25" i="1"/>
  <c r="V25" i="1"/>
  <c r="U25" i="1"/>
  <c r="T25" i="1"/>
  <c r="S25" i="1"/>
  <c r="R25" i="1"/>
  <c r="Q25" i="1"/>
  <c r="P25" i="1"/>
  <c r="O25" i="1"/>
  <c r="N25" i="1"/>
  <c r="AA12" i="1"/>
  <c r="Y12" i="1"/>
  <c r="V12" i="1"/>
  <c r="U12" i="1"/>
  <c r="T12" i="1"/>
  <c r="S12" i="1"/>
  <c r="R12" i="1"/>
  <c r="Q12" i="1"/>
  <c r="P12" i="1"/>
  <c r="O12" i="1"/>
  <c r="N12" i="1"/>
  <c r="D121" i="1"/>
  <c r="AA109" i="1" l="1"/>
  <c r="N109" i="1"/>
  <c r="R109" i="1"/>
  <c r="V109" i="1"/>
  <c r="O109" i="1"/>
  <c r="S109" i="1"/>
  <c r="Y109" i="1"/>
  <c r="Q109" i="1"/>
  <c r="U109" i="1"/>
  <c r="P109" i="1"/>
  <c r="T109" i="1"/>
  <c r="X78" i="1"/>
  <c r="Z78" i="1" s="1"/>
  <c r="W78" i="1"/>
  <c r="D13" i="12" l="1"/>
  <c r="D46" i="1" l="1"/>
  <c r="D70" i="1"/>
  <c r="D95" i="1"/>
  <c r="A5" i="12" l="1"/>
  <c r="B6" i="18" l="1"/>
  <c r="A30" i="18" l="1"/>
  <c r="A29" i="18"/>
  <c r="A28" i="18"/>
  <c r="B10" i="18"/>
  <c r="A10" i="18"/>
  <c r="A9" i="18"/>
  <c r="A8" i="18"/>
  <c r="A7" i="18"/>
  <c r="A6" i="18"/>
  <c r="X106" i="1" l="1"/>
  <c r="Z106" i="1" s="1"/>
  <c r="W106" i="1"/>
  <c r="X105" i="1"/>
  <c r="Z105" i="1" s="1"/>
  <c r="W105" i="1"/>
  <c r="X104" i="1"/>
  <c r="Z104" i="1" s="1"/>
  <c r="W104" i="1"/>
  <c r="X103" i="1"/>
  <c r="Z103" i="1" s="1"/>
  <c r="W103" i="1"/>
  <c r="X102" i="1"/>
  <c r="Z102" i="1" s="1"/>
  <c r="W102" i="1"/>
  <c r="X101" i="1"/>
  <c r="Z101" i="1" s="1"/>
  <c r="W101" i="1"/>
  <c r="X100" i="1"/>
  <c r="W100" i="1"/>
  <c r="X97" i="1"/>
  <c r="Z97" i="1" s="1"/>
  <c r="W97" i="1"/>
  <c r="X96" i="1"/>
  <c r="Z96" i="1" s="1"/>
  <c r="W96" i="1"/>
  <c r="X95" i="1"/>
  <c r="Z95" i="1" s="1"/>
  <c r="W95" i="1"/>
  <c r="X94" i="1"/>
  <c r="Z94" i="1" s="1"/>
  <c r="W94" i="1"/>
  <c r="X93" i="1"/>
  <c r="Z93" i="1" s="1"/>
  <c r="W93" i="1"/>
  <c r="X92" i="1"/>
  <c r="Z92" i="1" s="1"/>
  <c r="W92" i="1"/>
  <c r="X91" i="1"/>
  <c r="Z91" i="1" s="1"/>
  <c r="W91" i="1"/>
  <c r="X90" i="1"/>
  <c r="Z90" i="1" s="1"/>
  <c r="W90" i="1"/>
  <c r="X89" i="1"/>
  <c r="W89" i="1"/>
  <c r="X86" i="1"/>
  <c r="Z86" i="1" s="1"/>
  <c r="W86" i="1"/>
  <c r="X85" i="1"/>
  <c r="Z85" i="1" s="1"/>
  <c r="W85" i="1"/>
  <c r="X84" i="1"/>
  <c r="Z84" i="1" s="1"/>
  <c r="W84" i="1"/>
  <c r="X83" i="1"/>
  <c r="W83" i="1"/>
  <c r="X80" i="1"/>
  <c r="Z80" i="1" s="1"/>
  <c r="W80" i="1"/>
  <c r="X77" i="1"/>
  <c r="Z77" i="1" s="1"/>
  <c r="W77" i="1"/>
  <c r="X76" i="1"/>
  <c r="Z76" i="1" s="1"/>
  <c r="W76" i="1"/>
  <c r="X75" i="1"/>
  <c r="Z75" i="1" s="1"/>
  <c r="W75" i="1"/>
  <c r="X74" i="1"/>
  <c r="Z74" i="1" s="1"/>
  <c r="W74" i="1"/>
  <c r="X73" i="1"/>
  <c r="Z73" i="1" s="1"/>
  <c r="W73" i="1"/>
  <c r="X72" i="1"/>
  <c r="Z72" i="1" s="1"/>
  <c r="W72" i="1"/>
  <c r="X70" i="1"/>
  <c r="Z70" i="1" s="1"/>
  <c r="W70" i="1"/>
  <c r="X64" i="1"/>
  <c r="Z64" i="1" s="1"/>
  <c r="W64" i="1"/>
  <c r="X63" i="1"/>
  <c r="Z63" i="1" s="1"/>
  <c r="W63" i="1"/>
  <c r="X61" i="1"/>
  <c r="Z61" i="1" s="1"/>
  <c r="W61" i="1"/>
  <c r="X60" i="1"/>
  <c r="Z60" i="1" s="1"/>
  <c r="W60" i="1"/>
  <c r="X59" i="1"/>
  <c r="Z59" i="1" s="1"/>
  <c r="W59" i="1"/>
  <c r="X58" i="1"/>
  <c r="Z58" i="1" s="1"/>
  <c r="W58" i="1"/>
  <c r="X56" i="1"/>
  <c r="Z56" i="1" s="1"/>
  <c r="W56" i="1"/>
  <c r="X55" i="1"/>
  <c r="Z55" i="1" s="1"/>
  <c r="W55" i="1"/>
  <c r="X54" i="1"/>
  <c r="Z54" i="1" s="1"/>
  <c r="W54" i="1"/>
  <c r="X53" i="1"/>
  <c r="Z53" i="1" s="1"/>
  <c r="W53" i="1"/>
  <c r="X52" i="1"/>
  <c r="Z52" i="1" s="1"/>
  <c r="W52" i="1"/>
  <c r="X50" i="1"/>
  <c r="W50" i="1"/>
  <c r="X47" i="1"/>
  <c r="Z47" i="1" s="1"/>
  <c r="W47" i="1"/>
  <c r="X46" i="1"/>
  <c r="Z46" i="1" s="1"/>
  <c r="W46" i="1"/>
  <c r="X45" i="1"/>
  <c r="Z45" i="1" s="1"/>
  <c r="W45" i="1"/>
  <c r="X44" i="1"/>
  <c r="Z44" i="1" s="1"/>
  <c r="W44" i="1"/>
  <c r="X43" i="1"/>
  <c r="Z43" i="1" s="1"/>
  <c r="W43" i="1"/>
  <c r="X42" i="1"/>
  <c r="Z42" i="1" s="1"/>
  <c r="W42" i="1"/>
  <c r="X41" i="1"/>
  <c r="Z41" i="1" s="1"/>
  <c r="W41" i="1"/>
  <c r="X40" i="1"/>
  <c r="Z40" i="1" s="1"/>
  <c r="W40" i="1"/>
  <c r="X39" i="1"/>
  <c r="Z39" i="1" s="1"/>
  <c r="W39" i="1"/>
  <c r="X38" i="1"/>
  <c r="W38" i="1"/>
  <c r="X35" i="1"/>
  <c r="Z35" i="1" s="1"/>
  <c r="W35" i="1"/>
  <c r="X34" i="1"/>
  <c r="Z34" i="1" s="1"/>
  <c r="W34" i="1"/>
  <c r="X33" i="1"/>
  <c r="Z33" i="1" s="1"/>
  <c r="W33" i="1"/>
  <c r="X32" i="1"/>
  <c r="Z32" i="1" s="1"/>
  <c r="W32" i="1"/>
  <c r="X31" i="1"/>
  <c r="Z31" i="1" s="1"/>
  <c r="W31" i="1"/>
  <c r="X30" i="1"/>
  <c r="Z30" i="1" s="1"/>
  <c r="W30" i="1"/>
  <c r="X29" i="1"/>
  <c r="Z29" i="1" s="1"/>
  <c r="W29" i="1"/>
  <c r="X28" i="1"/>
  <c r="Z28" i="1" s="1"/>
  <c r="W28" i="1"/>
  <c r="X27" i="1"/>
  <c r="W27" i="1"/>
  <c r="X24" i="1"/>
  <c r="Z24" i="1" s="1"/>
  <c r="W24" i="1"/>
  <c r="X23" i="1"/>
  <c r="Z23" i="1" s="1"/>
  <c r="W23" i="1"/>
  <c r="X22" i="1"/>
  <c r="Z22" i="1" s="1"/>
  <c r="W22" i="1"/>
  <c r="X21" i="1"/>
  <c r="Z21" i="1" s="1"/>
  <c r="W21" i="1"/>
  <c r="X20" i="1"/>
  <c r="Z20" i="1" s="1"/>
  <c r="W20" i="1"/>
  <c r="X19" i="1"/>
  <c r="Z19" i="1" s="1"/>
  <c r="W19" i="1"/>
  <c r="X18" i="1"/>
  <c r="Z18" i="1" s="1"/>
  <c r="W18" i="1"/>
  <c r="X17" i="1"/>
  <c r="Z17" i="1" s="1"/>
  <c r="W17" i="1"/>
  <c r="X16" i="1"/>
  <c r="Z16" i="1" s="1"/>
  <c r="W16" i="1"/>
  <c r="X15" i="1"/>
  <c r="Z15" i="1" s="1"/>
  <c r="W15" i="1"/>
  <c r="X14" i="1"/>
  <c r="W14" i="1"/>
  <c r="X11" i="1"/>
  <c r="Z11" i="1" s="1"/>
  <c r="W11" i="1"/>
  <c r="X10" i="1"/>
  <c r="Z10" i="1" s="1"/>
  <c r="W10" i="1"/>
  <c r="X9" i="1"/>
  <c r="Z9" i="1" s="1"/>
  <c r="W9" i="1"/>
  <c r="X8" i="1"/>
  <c r="Z8" i="1" s="1"/>
  <c r="W8" i="1"/>
  <c r="X7" i="1"/>
  <c r="Z7" i="1" s="1"/>
  <c r="W7" i="1"/>
  <c r="X6" i="1"/>
  <c r="Z6" i="1" s="1"/>
  <c r="W6" i="1"/>
  <c r="X5" i="1"/>
  <c r="W5" i="1"/>
  <c r="W81" i="1" l="1"/>
  <c r="W87" i="1"/>
  <c r="W98" i="1"/>
  <c r="W25" i="1"/>
  <c r="W48" i="1"/>
  <c r="X12" i="1"/>
  <c r="Z50" i="1"/>
  <c r="Z81" i="1" s="1"/>
  <c r="X81" i="1"/>
  <c r="Z89" i="1"/>
  <c r="Z98" i="1" s="1"/>
  <c r="X98" i="1"/>
  <c r="X25" i="1"/>
  <c r="Z38" i="1"/>
  <c r="Z48" i="1" s="1"/>
  <c r="X48" i="1"/>
  <c r="Z83" i="1"/>
  <c r="Z87" i="1" s="1"/>
  <c r="X87" i="1"/>
  <c r="W12" i="1"/>
  <c r="W36" i="1"/>
  <c r="W107" i="1"/>
  <c r="Z27" i="1"/>
  <c r="Z36" i="1" s="1"/>
  <c r="X36" i="1"/>
  <c r="Z100" i="1"/>
  <c r="Z107" i="1" s="1"/>
  <c r="X107" i="1"/>
  <c r="Z14" i="1"/>
  <c r="Z25" i="1" s="1"/>
  <c r="Z5" i="1"/>
  <c r="Z12" i="1" s="1"/>
  <c r="D33" i="1"/>
  <c r="X109" i="1" l="1"/>
  <c r="Z109" i="1"/>
  <c r="W109" i="1"/>
  <c r="C121" i="1"/>
  <c r="A24" i="10" l="1"/>
  <c r="A25" i="10" s="1"/>
  <c r="A26" i="10" s="1"/>
  <c r="A27" i="10" s="1"/>
  <c r="A28" i="10" s="1"/>
  <c r="A29" i="10" s="1"/>
  <c r="A30" i="10" s="1"/>
  <c r="A31" i="10" s="1"/>
  <c r="A32" i="10" s="1"/>
  <c r="A33" i="10" s="1"/>
  <c r="A34" i="10" s="1"/>
  <c r="A5" i="10"/>
  <c r="A6" i="10" s="1"/>
  <c r="A7" i="10" s="1"/>
  <c r="A8" i="10" s="1"/>
  <c r="A9" i="10" s="1"/>
  <c r="A10" i="10" s="1"/>
  <c r="A11" i="10" s="1"/>
  <c r="A13" i="10" l="1"/>
  <c r="A14" i="10" s="1"/>
  <c r="A15" i="10" s="1"/>
  <c r="A16" i="10" s="1"/>
  <c r="A17" i="10" s="1"/>
  <c r="A18" i="10" s="1"/>
  <c r="A19" i="10" s="1"/>
  <c r="A20" i="10" s="1"/>
  <c r="D81" i="1"/>
  <c r="D12" i="1" l="1"/>
  <c r="C9" i="4" l="1"/>
  <c r="B2" i="1" s="1"/>
  <c r="E195" i="8" l="1"/>
  <c r="E194" i="8"/>
  <c r="E186" i="8"/>
  <c r="E178" i="8"/>
  <c r="E170" i="8"/>
  <c r="E162" i="8"/>
  <c r="E154" i="8"/>
  <c r="E146" i="8"/>
  <c r="E138" i="8"/>
  <c r="E130" i="8"/>
  <c r="E122" i="8"/>
  <c r="E114" i="8"/>
  <c r="E106" i="8"/>
  <c r="E98" i="8"/>
  <c r="E90" i="8"/>
  <c r="E82" i="8"/>
  <c r="E74" i="8"/>
  <c r="E66" i="8"/>
  <c r="E58" i="8"/>
  <c r="E50" i="8"/>
  <c r="E42" i="8"/>
  <c r="E34" i="8"/>
  <c r="E26" i="8"/>
  <c r="E18" i="8"/>
  <c r="E10" i="8"/>
  <c r="E185" i="8"/>
  <c r="E177" i="8"/>
  <c r="E169" i="8"/>
  <c r="E161" i="8"/>
  <c r="E153" i="8"/>
  <c r="E145" i="8"/>
  <c r="E137" i="8"/>
  <c r="E129" i="8"/>
  <c r="E121" i="8"/>
  <c r="E105" i="8"/>
  <c r="E97" i="8"/>
  <c r="E89" i="8"/>
  <c r="E73" i="8"/>
  <c r="E49" i="8"/>
  <c r="E9" i="8"/>
  <c r="E32" i="8"/>
  <c r="E193" i="8"/>
  <c r="E113" i="8"/>
  <c r="E81" i="8"/>
  <c r="E65" i="8"/>
  <c r="E25" i="8"/>
  <c r="E40" i="8"/>
  <c r="E16" i="8"/>
  <c r="E192" i="8"/>
  <c r="E184" i="8"/>
  <c r="E176" i="8"/>
  <c r="E168" i="8"/>
  <c r="E160" i="8"/>
  <c r="E152" i="8"/>
  <c r="E144" i="8"/>
  <c r="E136" i="8"/>
  <c r="E128" i="8"/>
  <c r="E120" i="8"/>
  <c r="E112" i="8"/>
  <c r="E104" i="8"/>
  <c r="E96" i="8"/>
  <c r="E88" i="8"/>
  <c r="E80" i="8"/>
  <c r="E72" i="8"/>
  <c r="E64" i="8"/>
  <c r="E48" i="8"/>
  <c r="E191" i="8"/>
  <c r="E183" i="8"/>
  <c r="E175" i="8"/>
  <c r="E167" i="8"/>
  <c r="E159" i="8"/>
  <c r="E151" i="8"/>
  <c r="E143" i="8"/>
  <c r="E135" i="8"/>
  <c r="E127" i="8"/>
  <c r="E119" i="8"/>
  <c r="E111" i="8"/>
  <c r="E103" i="8"/>
  <c r="E95" i="8"/>
  <c r="E87" i="8"/>
  <c r="E79" i="8"/>
  <c r="E71" i="8"/>
  <c r="E63" i="8"/>
  <c r="E55" i="8"/>
  <c r="E47" i="8"/>
  <c r="E39" i="8"/>
  <c r="E31" i="8"/>
  <c r="E23" i="8"/>
  <c r="E15" i="8"/>
  <c r="E7" i="8"/>
  <c r="E14" i="8"/>
  <c r="E60" i="8"/>
  <c r="E28" i="8"/>
  <c r="E4" i="8"/>
  <c r="E179" i="8"/>
  <c r="E155" i="8"/>
  <c r="E123" i="8"/>
  <c r="E91" i="8"/>
  <c r="E67" i="8"/>
  <c r="E43" i="8"/>
  <c r="E19" i="8"/>
  <c r="E41" i="8"/>
  <c r="E17" i="8"/>
  <c r="E24" i="8"/>
  <c r="E190" i="8"/>
  <c r="E182" i="8"/>
  <c r="E174" i="8"/>
  <c r="E166" i="8"/>
  <c r="E158" i="8"/>
  <c r="E150" i="8"/>
  <c r="E142" i="8"/>
  <c r="E134" i="8"/>
  <c r="E126" i="8"/>
  <c r="E118" i="8"/>
  <c r="E110" i="8"/>
  <c r="E102" i="8"/>
  <c r="E94" i="8"/>
  <c r="E86" i="8"/>
  <c r="E78" i="8"/>
  <c r="E70" i="8"/>
  <c r="E62" i="8"/>
  <c r="E54" i="8"/>
  <c r="E46" i="8"/>
  <c r="E38" i="8"/>
  <c r="E30" i="8"/>
  <c r="E22" i="8"/>
  <c r="E6" i="8"/>
  <c r="E44" i="8"/>
  <c r="E12" i="8"/>
  <c r="E171" i="8"/>
  <c r="E139" i="8"/>
  <c r="E107" i="8"/>
  <c r="E83" i="8"/>
  <c r="E59" i="8"/>
  <c r="E35" i="8"/>
  <c r="E3" i="8"/>
  <c r="E33" i="8"/>
  <c r="E56" i="8"/>
  <c r="E189" i="8"/>
  <c r="E181" i="8"/>
  <c r="E173" i="8"/>
  <c r="E165" i="8"/>
  <c r="E157" i="8"/>
  <c r="E149" i="8"/>
  <c r="E141" i="8"/>
  <c r="E133" i="8"/>
  <c r="E125" i="8"/>
  <c r="E117" i="8"/>
  <c r="E109" i="8"/>
  <c r="E101" i="8"/>
  <c r="E93" i="8"/>
  <c r="E85" i="8"/>
  <c r="E77" i="8"/>
  <c r="E69" i="8"/>
  <c r="E61" i="8"/>
  <c r="E53" i="8"/>
  <c r="E45" i="8"/>
  <c r="E37" i="8"/>
  <c r="E29" i="8"/>
  <c r="E21" i="8"/>
  <c r="E13" i="8"/>
  <c r="E5" i="8"/>
  <c r="E180" i="8"/>
  <c r="E172" i="8"/>
  <c r="E164" i="8"/>
  <c r="E156" i="8"/>
  <c r="E148" i="8"/>
  <c r="E140" i="8"/>
  <c r="E132" i="8"/>
  <c r="E124" i="8"/>
  <c r="E116" i="8"/>
  <c r="E108" i="8"/>
  <c r="E100" i="8"/>
  <c r="E92" i="8"/>
  <c r="E84" i="8"/>
  <c r="E76" i="8"/>
  <c r="E68" i="8"/>
  <c r="E52" i="8"/>
  <c r="E36" i="8"/>
  <c r="E20" i="8"/>
  <c r="E187" i="8"/>
  <c r="E163" i="8"/>
  <c r="E147" i="8"/>
  <c r="E131" i="8"/>
  <c r="E115" i="8"/>
  <c r="E99" i="8"/>
  <c r="E75" i="8"/>
  <c r="E51" i="8"/>
  <c r="E27" i="8"/>
  <c r="E11" i="8"/>
  <c r="E57" i="8"/>
  <c r="E8" i="8"/>
  <c r="E188" i="8"/>
  <c r="A7" i="9"/>
  <c r="A6" i="9"/>
  <c r="B83" i="1" l="1"/>
  <c r="B84" i="1" s="1"/>
  <c r="B85" i="1" s="1"/>
  <c r="B86" i="1" s="1"/>
  <c r="D12" i="12" l="1"/>
  <c r="D11" i="12"/>
  <c r="A7" i="12"/>
  <c r="A21" i="12"/>
  <c r="A22" i="12"/>
  <c r="C10" i="12" l="1"/>
  <c r="C3" i="8" l="1"/>
  <c r="C2" i="8"/>
  <c r="A2" i="8" l="1"/>
  <c r="D101" i="1"/>
  <c r="D100" i="1"/>
  <c r="D107" i="1" s="1"/>
  <c r="D93" i="1"/>
  <c r="D98" i="1" s="1"/>
  <c r="D85" i="1"/>
  <c r="D84" i="1"/>
  <c r="D38" i="1"/>
  <c r="D34" i="1"/>
  <c r="D32" i="1"/>
  <c r="D31" i="1"/>
  <c r="D30" i="1"/>
  <c r="D18" i="1"/>
  <c r="D25" i="1" l="1"/>
  <c r="H125" i="1"/>
  <c r="D117" i="1"/>
  <c r="D36" i="1"/>
  <c r="D87" i="1"/>
  <c r="D120" i="1"/>
  <c r="D112" i="1"/>
  <c r="D44" i="1"/>
  <c r="H126" i="1" s="1"/>
  <c r="D45" i="1"/>
  <c r="B125" i="1" l="1"/>
  <c r="A3" i="11"/>
  <c r="B126" i="1"/>
  <c r="A4" i="11"/>
  <c r="D48" i="1"/>
  <c r="D109" i="1" s="1"/>
  <c r="A27" i="12"/>
  <c r="B22" i="12"/>
  <c r="B21" i="12"/>
  <c r="B131" i="1"/>
  <c r="C110" i="1"/>
  <c r="H109" i="1" l="1"/>
  <c r="H108" i="1"/>
  <c r="A13" i="9"/>
  <c r="A11" i="9"/>
  <c r="A10" i="9"/>
  <c r="A9" i="9"/>
  <c r="A5" i="9"/>
  <c r="A4" i="9"/>
  <c r="A15" i="9" s="1"/>
  <c r="A3" i="9"/>
  <c r="A1" i="9"/>
  <c r="D3" i="8"/>
  <c r="B7" i="12" l="1"/>
  <c r="D119" i="1"/>
  <c r="D118" i="1"/>
  <c r="D110" i="1" l="1"/>
  <c r="D114" i="1" s="1"/>
  <c r="A26" i="18"/>
  <c r="D122" i="1"/>
  <c r="H122" i="1" l="1"/>
  <c r="B134" i="1"/>
  <c r="C112" i="1" l="1"/>
  <c r="B59" i="1" l="1"/>
  <c r="B60" i="1" s="1"/>
  <c r="B61" i="1" s="1"/>
  <c r="B62" i="1" s="1"/>
  <c r="B63" i="1" s="1"/>
  <c r="B64" i="1" s="1"/>
  <c r="K46" i="1"/>
  <c r="B28" i="1"/>
  <c r="B29" i="1" s="1"/>
  <c r="B30" i="1" s="1"/>
  <c r="B31" i="1" s="1"/>
  <c r="B32" i="1" s="1"/>
  <c r="B33" i="1" s="1"/>
  <c r="B34" i="1" s="1"/>
  <c r="B35" i="1" s="1"/>
  <c r="B65" i="1" l="1"/>
  <c r="B90" i="1"/>
  <c r="B66" i="1" l="1"/>
  <c r="B67" i="1" s="1"/>
  <c r="B68" i="1" s="1"/>
  <c r="B69" i="1" s="1"/>
  <c r="B70" i="1" s="1"/>
  <c r="B91" i="1"/>
  <c r="B92" i="1" s="1"/>
  <c r="B93" i="1" s="1"/>
  <c r="B94" i="1" s="1"/>
  <c r="B95" i="1" s="1"/>
  <c r="B96" i="1" s="1"/>
  <c r="B97" i="1" s="1"/>
  <c r="B101" i="1"/>
  <c r="B102" i="1" s="1"/>
  <c r="B103" i="1" s="1"/>
  <c r="B104" i="1" s="1"/>
  <c r="B105" i="1" s="1"/>
  <c r="B106" i="1" s="1"/>
  <c r="B39" i="1"/>
  <c r="B40" i="1" s="1"/>
  <c r="B41" i="1" s="1"/>
  <c r="B42" i="1" s="1"/>
  <c r="B43" i="1" s="1"/>
  <c r="B44" i="1" s="1"/>
  <c r="B45" i="1" s="1"/>
  <c r="B46" i="1" s="1"/>
  <c r="B47" i="1" s="1"/>
  <c r="B16" i="1"/>
  <c r="B17" i="1" s="1"/>
  <c r="B6" i="1"/>
  <c r="B71" i="1" l="1"/>
  <c r="B72" i="1" s="1"/>
  <c r="B73" i="1" s="1"/>
  <c r="B74" i="1" s="1"/>
  <c r="B75" i="1" s="1"/>
  <c r="B76" i="1" s="1"/>
  <c r="B77" i="1" s="1"/>
  <c r="C4" i="8"/>
  <c r="C5" i="8"/>
  <c r="D4" i="8"/>
  <c r="D5" i="8"/>
  <c r="B18" i="1"/>
  <c r="B19" i="1" s="1"/>
  <c r="B20" i="1" s="1"/>
  <c r="B21" i="1" s="1"/>
  <c r="B22" i="1" s="1"/>
  <c r="B23" i="1" s="1"/>
  <c r="B24" i="1" s="1"/>
  <c r="B7" i="1"/>
  <c r="B8" i="1" s="1"/>
  <c r="B9" i="1" s="1"/>
  <c r="B10" i="1" s="1"/>
  <c r="B78" i="1" l="1"/>
  <c r="B79" i="1" s="1"/>
  <c r="B80" i="1" s="1"/>
  <c r="D155" i="8" s="1"/>
  <c r="C127" i="8"/>
  <c r="D120" i="8"/>
  <c r="C133" i="8"/>
  <c r="C130" i="8"/>
  <c r="C121" i="8"/>
  <c r="C122" i="8"/>
  <c r="D126" i="8"/>
  <c r="C129" i="8"/>
  <c r="C134" i="8"/>
  <c r="C124" i="8"/>
  <c r="C125" i="8"/>
  <c r="C128" i="8"/>
  <c r="D134" i="8"/>
  <c r="D133" i="8"/>
  <c r="C135" i="8"/>
  <c r="D121" i="8"/>
  <c r="C123" i="8"/>
  <c r="C126" i="8"/>
  <c r="D129" i="8"/>
  <c r="D135" i="8"/>
  <c r="D130" i="8"/>
  <c r="D122" i="8"/>
  <c r="D128" i="8"/>
  <c r="D119" i="8"/>
  <c r="D125" i="8"/>
  <c r="C120" i="8"/>
  <c r="D124" i="8"/>
  <c r="D127" i="8"/>
  <c r="D123" i="8"/>
  <c r="C119" i="8"/>
  <c r="D114" i="8"/>
  <c r="D113" i="8"/>
  <c r="D103" i="8"/>
  <c r="D104" i="8"/>
  <c r="C104" i="8"/>
  <c r="C103" i="8"/>
  <c r="C114" i="8"/>
  <c r="C113" i="8"/>
  <c r="D92" i="8"/>
  <c r="D91" i="8"/>
  <c r="C92" i="8"/>
  <c r="C91" i="8"/>
  <c r="D70" i="8"/>
  <c r="C69" i="8"/>
  <c r="C68" i="8"/>
  <c r="C74" i="8"/>
  <c r="C73" i="8"/>
  <c r="C76" i="8"/>
  <c r="C13" i="8"/>
  <c r="C67" i="8"/>
  <c r="D72" i="8"/>
  <c r="D69" i="8"/>
  <c r="C70" i="8"/>
  <c r="D67" i="8"/>
  <c r="D76" i="8"/>
  <c r="D73" i="8"/>
  <c r="D13" i="8"/>
  <c r="D74" i="8"/>
  <c r="D68" i="8"/>
  <c r="C72" i="8"/>
  <c r="A4" i="8"/>
  <c r="D16" i="8"/>
  <c r="C16" i="8"/>
  <c r="C15" i="8"/>
  <c r="D15" i="8"/>
  <c r="D21" i="8"/>
  <c r="D9" i="8"/>
  <c r="D7" i="8"/>
  <c r="D30" i="8"/>
  <c r="D81" i="8"/>
  <c r="D27" i="8"/>
  <c r="D88" i="8"/>
  <c r="D26" i="8"/>
  <c r="D62" i="8"/>
  <c r="D50" i="8"/>
  <c r="D160" i="8"/>
  <c r="D59" i="8"/>
  <c r="D48" i="8"/>
  <c r="D65" i="8"/>
  <c r="D6" i="8"/>
  <c r="D33" i="8"/>
  <c r="D79" i="8"/>
  <c r="D8" i="8"/>
  <c r="D24" i="8"/>
  <c r="D18" i="8"/>
  <c r="C54" i="8"/>
  <c r="C7" i="8"/>
  <c r="C77" i="8"/>
  <c r="C17" i="8"/>
  <c r="C48" i="8"/>
  <c r="C81" i="8"/>
  <c r="C35" i="8"/>
  <c r="D172" i="8"/>
  <c r="D23" i="8"/>
  <c r="D46" i="8"/>
  <c r="D192" i="8"/>
  <c r="D14" i="8"/>
  <c r="D161" i="8"/>
  <c r="D44" i="8"/>
  <c r="D194" i="8"/>
  <c r="D90" i="8"/>
  <c r="D11" i="8"/>
  <c r="C34" i="8"/>
  <c r="C53" i="8"/>
  <c r="C195" i="8"/>
  <c r="C32" i="8"/>
  <c r="C90" i="8"/>
  <c r="C182" i="8"/>
  <c r="C93" i="8"/>
  <c r="C19" i="8"/>
  <c r="C26" i="8"/>
  <c r="C158" i="8"/>
  <c r="C37" i="8"/>
  <c r="C179" i="8"/>
  <c r="C88" i="8"/>
  <c r="C14" i="8"/>
  <c r="C30" i="8"/>
  <c r="C166" i="8"/>
  <c r="C71" i="8"/>
  <c r="C12" i="8"/>
  <c r="D82" i="8"/>
  <c r="D47" i="8"/>
  <c r="D183" i="8"/>
  <c r="D22" i="8"/>
  <c r="D193" i="8"/>
  <c r="D17" i="8"/>
  <c r="D166" i="8"/>
  <c r="D58" i="8"/>
  <c r="D101" i="8"/>
  <c r="D19" i="8"/>
  <c r="D89" i="8"/>
  <c r="D35" i="8"/>
  <c r="C86" i="8"/>
  <c r="C11" i="8"/>
  <c r="C21" i="8"/>
  <c r="C64" i="8"/>
  <c r="C9" i="8"/>
  <c r="C51" i="8"/>
  <c r="D102" i="8"/>
  <c r="D80" i="8"/>
  <c r="D45" i="8"/>
  <c r="D29" i="8"/>
  <c r="D175" i="8"/>
  <c r="D156" i="8"/>
  <c r="D97" i="8"/>
  <c r="D71" i="8"/>
  <c r="D40" i="8"/>
  <c r="D181" i="8"/>
  <c r="D61" i="8"/>
  <c r="D186" i="8"/>
  <c r="D164" i="8"/>
  <c r="D86" i="8"/>
  <c r="D52" i="8"/>
  <c r="D31" i="8"/>
  <c r="C173" i="8"/>
  <c r="C78" i="8"/>
  <c r="C46" i="8"/>
  <c r="C176" i="8"/>
  <c r="C99" i="8"/>
  <c r="C65" i="8"/>
  <c r="C49" i="8"/>
  <c r="C33" i="8"/>
  <c r="C191" i="8"/>
  <c r="C175" i="8"/>
  <c r="C161" i="8"/>
  <c r="C102" i="8"/>
  <c r="C84" i="8"/>
  <c r="C60" i="8"/>
  <c r="C44" i="8"/>
  <c r="C28" i="8"/>
  <c r="C82" i="8"/>
  <c r="C184" i="8"/>
  <c r="C194" i="8"/>
  <c r="C178" i="8"/>
  <c r="C87" i="8"/>
  <c r="C63" i="8"/>
  <c r="C47" i="8"/>
  <c r="C31" i="8"/>
  <c r="D84" i="8"/>
  <c r="D184" i="8"/>
  <c r="D54" i="8"/>
  <c r="D190" i="8"/>
  <c r="D28" i="8"/>
  <c r="D53" i="8"/>
  <c r="D185" i="8"/>
  <c r="D49" i="8"/>
  <c r="D177" i="8"/>
  <c r="D85" i="8"/>
  <c r="D42" i="8"/>
  <c r="D10" i="8"/>
  <c r="D176" i="8"/>
  <c r="D157" i="8"/>
  <c r="D98" i="8"/>
  <c r="D75" i="8"/>
  <c r="D41" i="8"/>
  <c r="D20" i="8"/>
  <c r="D195" i="8"/>
  <c r="D169" i="8"/>
  <c r="D93" i="8"/>
  <c r="D63" i="8"/>
  <c r="D36" i="8"/>
  <c r="D12" i="8"/>
  <c r="D167" i="8"/>
  <c r="D99" i="8"/>
  <c r="D38" i="8"/>
  <c r="D178" i="8"/>
  <c r="D159" i="8"/>
  <c r="D100" i="8"/>
  <c r="D78" i="8"/>
  <c r="D43" i="8"/>
  <c r="D25" i="8"/>
  <c r="C193" i="8"/>
  <c r="C185" i="8"/>
  <c r="C163" i="8"/>
  <c r="C181" i="8"/>
  <c r="C100" i="8"/>
  <c r="C66" i="8"/>
  <c r="C42" i="8"/>
  <c r="C22" i="8"/>
  <c r="C192" i="8"/>
  <c r="C168" i="8"/>
  <c r="C89" i="8"/>
  <c r="C61" i="8"/>
  <c r="C45" i="8"/>
  <c r="C29" i="8"/>
  <c r="C10" i="8"/>
  <c r="C187" i="8"/>
  <c r="C171" i="8"/>
  <c r="C157" i="8"/>
  <c r="C98" i="8"/>
  <c r="C80" i="8"/>
  <c r="C56" i="8"/>
  <c r="C40" i="8"/>
  <c r="C24" i="8"/>
  <c r="C62" i="8"/>
  <c r="C172" i="8"/>
  <c r="C190" i="8"/>
  <c r="C174" i="8"/>
  <c r="C160" i="8"/>
  <c r="C101" i="8"/>
  <c r="C83" i="8"/>
  <c r="C59" i="8"/>
  <c r="C43" i="8"/>
  <c r="C27" i="8"/>
  <c r="C8" i="8"/>
  <c r="D83" i="8"/>
  <c r="D162" i="8"/>
  <c r="D60" i="8"/>
  <c r="D188" i="8"/>
  <c r="D51" i="8"/>
  <c r="D173" i="8"/>
  <c r="D56" i="8"/>
  <c r="D55" i="8"/>
  <c r="D171" i="8"/>
  <c r="D77" i="8"/>
  <c r="D34" i="8"/>
  <c r="D170" i="8"/>
  <c r="D94" i="8"/>
  <c r="D64" i="8"/>
  <c r="D37" i="8"/>
  <c r="D187" i="8"/>
  <c r="D165" i="8"/>
  <c r="D87" i="8"/>
  <c r="D57" i="8"/>
  <c r="D32" i="8"/>
  <c r="D158" i="8"/>
  <c r="D95" i="8"/>
  <c r="D174" i="8"/>
  <c r="D96" i="8"/>
  <c r="D66" i="8"/>
  <c r="D39" i="8"/>
  <c r="C177" i="8"/>
  <c r="C169" i="8"/>
  <c r="C189" i="8"/>
  <c r="C165" i="8"/>
  <c r="C96" i="8"/>
  <c r="C58" i="8"/>
  <c r="C38" i="8"/>
  <c r="C18" i="8"/>
  <c r="C188" i="8"/>
  <c r="C162" i="8"/>
  <c r="C85" i="8"/>
  <c r="C57" i="8"/>
  <c r="C41" i="8"/>
  <c r="C25" i="8"/>
  <c r="C6" i="8"/>
  <c r="C183" i="8"/>
  <c r="C167" i="8"/>
  <c r="C94" i="8"/>
  <c r="C75" i="8"/>
  <c r="C52" i="8"/>
  <c r="C36" i="8"/>
  <c r="C20" i="8"/>
  <c r="C50" i="8"/>
  <c r="C164" i="8"/>
  <c r="C95" i="8"/>
  <c r="C186" i="8"/>
  <c r="C170" i="8"/>
  <c r="C156" i="8"/>
  <c r="C97" i="8"/>
  <c r="C79" i="8"/>
  <c r="C55" i="8"/>
  <c r="C39" i="8"/>
  <c r="C23" i="8"/>
  <c r="K48" i="1"/>
  <c r="A31" i="8" l="1"/>
  <c r="D182" i="8"/>
  <c r="A182" i="8" s="1"/>
  <c r="D189" i="8"/>
  <c r="C180" i="8"/>
  <c r="C159" i="8"/>
  <c r="D191" i="8"/>
  <c r="D179" i="8"/>
  <c r="D163" i="8"/>
  <c r="C155" i="8"/>
  <c r="D152" i="8"/>
  <c r="C153" i="8"/>
  <c r="D168" i="8"/>
  <c r="A168" i="8" s="1"/>
  <c r="D180" i="8"/>
  <c r="D150" i="8"/>
  <c r="D154" i="8"/>
  <c r="C154" i="8"/>
  <c r="D153" i="8"/>
  <c r="A123" i="8"/>
  <c r="A127" i="8"/>
  <c r="A121" i="8"/>
  <c r="A125" i="8"/>
  <c r="A133" i="8"/>
  <c r="A113" i="8"/>
  <c r="A119" i="8"/>
  <c r="A103" i="8"/>
  <c r="A33" i="8"/>
  <c r="A91" i="8"/>
  <c r="A192" i="8"/>
  <c r="A41" i="8"/>
  <c r="A184" i="8"/>
  <c r="A65" i="8"/>
  <c r="A39" i="8"/>
  <c r="A43" i="8"/>
  <c r="A10" i="8"/>
  <c r="A8" i="8"/>
  <c r="A45" i="8"/>
  <c r="A95" i="8"/>
  <c r="A57" i="8"/>
  <c r="A188" i="8"/>
  <c r="A89" i="8"/>
  <c r="A21" i="8"/>
  <c r="A81" i="8"/>
  <c r="A77" i="8"/>
  <c r="A15" i="8"/>
  <c r="A164" i="8"/>
  <c r="A85" i="8"/>
  <c r="A59" i="8"/>
  <c r="A172" i="8"/>
  <c r="A170" i="8"/>
  <c r="A25" i="8"/>
  <c r="A83" i="8"/>
  <c r="A93" i="8"/>
  <c r="A35" i="8"/>
  <c r="A79" i="8"/>
  <c r="A27" i="8"/>
  <c r="A101" i="8"/>
  <c r="A61" i="8"/>
  <c r="A47" i="8"/>
  <c r="A63" i="8"/>
  <c r="A178" i="8"/>
  <c r="A53" i="8"/>
  <c r="A55" i="8"/>
  <c r="A156" i="8"/>
  <c r="A160" i="8"/>
  <c r="A29" i="8"/>
  <c r="A87" i="8"/>
  <c r="A194" i="8"/>
  <c r="A99" i="8"/>
  <c r="A166" i="8"/>
  <c r="A174" i="8"/>
  <c r="A37" i="8"/>
  <c r="A23" i="8"/>
  <c r="A97" i="8"/>
  <c r="A186" i="8"/>
  <c r="A162" i="8"/>
  <c r="A190" i="8"/>
  <c r="A49" i="8"/>
  <c r="A176" i="8"/>
  <c r="A51" i="8"/>
  <c r="A158" i="8"/>
  <c r="A6" i="8"/>
  <c r="A19" i="8"/>
  <c r="A17" i="8"/>
  <c r="A180" i="8" l="1"/>
  <c r="A154" i="8"/>
  <c r="B7" i="18"/>
  <c r="C152" i="8" l="1"/>
  <c r="C148" i="8"/>
  <c r="D148" i="8"/>
  <c r="C144" i="8"/>
  <c r="D144" i="8"/>
  <c r="D140" i="8"/>
  <c r="C140" i="8"/>
  <c r="C136" i="8"/>
  <c r="D136" i="8"/>
  <c r="C117" i="8"/>
  <c r="D117" i="8"/>
  <c r="C111" i="8"/>
  <c r="D111" i="8"/>
  <c r="C107" i="8"/>
  <c r="D107" i="8"/>
  <c r="D105" i="8"/>
  <c r="C105" i="8"/>
  <c r="C109" i="8"/>
  <c r="D109" i="8"/>
  <c r="D115" i="8"/>
  <c r="C115" i="8"/>
  <c r="C131" i="8"/>
  <c r="D131" i="8"/>
  <c r="C138" i="8"/>
  <c r="D138" i="8"/>
  <c r="D142" i="8"/>
  <c r="C142" i="8"/>
  <c r="D146" i="8"/>
  <c r="C146" i="8"/>
  <c r="C150" i="8"/>
  <c r="D151" i="8"/>
  <c r="C151" i="8"/>
  <c r="C147" i="8"/>
  <c r="D147" i="8"/>
  <c r="C143" i="8"/>
  <c r="D143" i="8"/>
  <c r="D139" i="8"/>
  <c r="C139" i="8"/>
  <c r="D132" i="8"/>
  <c r="C132" i="8"/>
  <c r="D110" i="8"/>
  <c r="C110" i="8"/>
  <c r="C106" i="8"/>
  <c r="D106" i="8"/>
  <c r="C116" i="8"/>
  <c r="D116" i="8"/>
  <c r="D145" i="8"/>
  <c r="C145" i="8"/>
  <c r="D137" i="8"/>
  <c r="C137" i="8"/>
  <c r="D112" i="8"/>
  <c r="C112" i="8"/>
  <c r="D108" i="8"/>
  <c r="C108" i="8"/>
  <c r="C118" i="8"/>
  <c r="D118" i="8"/>
  <c r="D141" i="8"/>
  <c r="C141" i="8"/>
  <c r="D149" i="8"/>
  <c r="C149" i="8"/>
  <c r="A109" i="8" l="1"/>
  <c r="A111" i="8"/>
  <c r="A105" i="8"/>
  <c r="A107" i="8"/>
  <c r="A151" i="8"/>
  <c r="A136" i="8"/>
  <c r="A146" i="8"/>
  <c r="A115" i="8"/>
  <c r="A131" i="8"/>
  <c r="A117" i="8"/>
  <c r="A140" i="8"/>
  <c r="A144" i="8"/>
  <c r="A148" i="8"/>
  <c r="A142" i="8"/>
  <c r="A138"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Jessica Harris</author>
    <author>KHA_User</author>
  </authors>
  <commentList>
    <comment ref="Z2" authorId="0" shapeId="0" xr:uid="{00000000-0006-0000-0300-000001000000}">
      <text>
        <r>
          <rPr>
            <b/>
            <sz val="9"/>
            <color indexed="81"/>
            <rFont val="Tahoma"/>
            <family val="2"/>
          </rPr>
          <t xml:space="preserve">Orange shading indicates that Task Fee is less than Work Plan Amt
</t>
        </r>
        <r>
          <rPr>
            <sz val="9"/>
            <color indexed="81"/>
            <rFont val="Tahoma"/>
            <family val="2"/>
          </rPr>
          <t xml:space="preserve">
</t>
        </r>
      </text>
    </comment>
    <comment ref="F3" authorId="1" shapeId="0" xr:uid="{00000000-0006-0000-0300-000002000000}">
      <text>
        <r>
          <rPr>
            <b/>
            <sz val="9"/>
            <color indexed="81"/>
            <rFont val="Tahoma"/>
            <family val="2"/>
          </rPr>
          <t>KHA_User:</t>
        </r>
        <r>
          <rPr>
            <sz val="9"/>
            <color indexed="81"/>
            <rFont val="Tahoma"/>
            <family val="2"/>
          </rPr>
          <t xml:space="preserve">
In the SETUP tab select the appropriate macro to show or hide the Phase column.</t>
        </r>
      </text>
    </comment>
    <comment ref="K3" authorId="0" shapeId="0" xr:uid="{00000000-0006-0000-0300-000003000000}">
      <text>
        <r>
          <rPr>
            <sz val="9"/>
            <color indexed="81"/>
            <rFont val="Tahoma"/>
            <family val="2"/>
          </rPr>
          <t>80% of the time a task will be completed within the fee range provided for a typical project.</t>
        </r>
      </text>
    </comment>
    <comment ref="D4" authorId="1" shapeId="0" xr:uid="{00000000-0006-0000-0300-000004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H10" authorId="1" shapeId="0" xr:uid="{00000000-0006-0000-0300-000005000000}">
      <text>
        <r>
          <rPr>
            <b/>
            <sz val="9"/>
            <color indexed="81"/>
            <rFont val="Tahoma"/>
            <family val="2"/>
          </rPr>
          <t>KHA_User:</t>
        </r>
        <r>
          <rPr>
            <sz val="9"/>
            <color indexed="81"/>
            <rFont val="Tahoma"/>
            <family val="2"/>
          </rPr>
          <t xml:space="preserve">
For Hourly Max (HM) tasks, enter the number of hours included here.  Adjust the blended hourly rate as appropriate on the SETUP tab.</t>
        </r>
      </text>
    </comment>
    <comment ref="D13" authorId="1" shapeId="0" xr:uid="{00000000-0006-0000-0300-000006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C15" authorId="0" shapeId="0" xr:uid="{00000000-0006-0000-0300-000007000000}">
      <text>
        <r>
          <rPr>
            <sz val="9"/>
            <color indexed="81"/>
            <rFont val="Tahoma"/>
            <family val="2"/>
          </rPr>
          <t>DO NOT modify the Table A items listed in the Detailed Task Description for the ALTA survey without discussing the impact on schedule and fee with the RPLS as these impacts can be significant.</t>
        </r>
      </text>
    </comment>
    <comment ref="D26" authorId="1" shapeId="0" xr:uid="{00000000-0006-0000-0300-000008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D37" authorId="1" shapeId="0" xr:uid="{00000000-0006-0000-0300-000009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D49" authorId="1" shapeId="0" xr:uid="{00000000-0006-0000-0300-00000A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D82" authorId="1" shapeId="0" xr:uid="{00000000-0006-0000-0300-00000B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D88" authorId="1" shapeId="0" xr:uid="{00000000-0006-0000-0300-00000C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 ref="D99" authorId="1" shapeId="0" xr:uid="{00000000-0006-0000-0300-00000D000000}">
      <text>
        <r>
          <rPr>
            <b/>
            <sz val="9"/>
            <color indexed="81"/>
            <rFont val="Tahoma"/>
            <family val="2"/>
          </rPr>
          <t>KHA_User:</t>
        </r>
        <r>
          <rPr>
            <sz val="9"/>
            <color indexed="81"/>
            <rFont val="Tahoma"/>
            <family val="2"/>
          </rPr>
          <t xml:space="preserve">
To hide an unused section header enter a zero fee in the fee column and it will be hidden when the appropriate macro is run.</t>
        </r>
      </text>
    </comment>
  </commentList>
</comments>
</file>

<file path=xl/sharedStrings.xml><?xml version="1.0" encoding="utf-8"?>
<sst xmlns="http://schemas.openxmlformats.org/spreadsheetml/2006/main" count="853" uniqueCount="591">
  <si>
    <t>Fee</t>
  </si>
  <si>
    <t>Fee Type</t>
  </si>
  <si>
    <t>Information Gathering</t>
  </si>
  <si>
    <t>LS</t>
  </si>
  <si>
    <t>Pre-Application Meeting</t>
  </si>
  <si>
    <t>H</t>
  </si>
  <si>
    <t>Project Schedule</t>
  </si>
  <si>
    <t>ALTA Boundary Survey</t>
  </si>
  <si>
    <t>Topographic Survey</t>
  </si>
  <si>
    <t>Tree Survey</t>
  </si>
  <si>
    <t>Preliminary Plat</t>
  </si>
  <si>
    <t>Final Plat</t>
  </si>
  <si>
    <t>Site Plan Reconciliation</t>
  </si>
  <si>
    <t>Traffic Impact Analysis (TIA)</t>
  </si>
  <si>
    <t>Water Capacity Analysis</t>
  </si>
  <si>
    <t>Traffic Signal Design</t>
  </si>
  <si>
    <t>Traffic Control Plan</t>
  </si>
  <si>
    <t>City Concept Plan</t>
  </si>
  <si>
    <t>Other</t>
  </si>
  <si>
    <t>Replat</t>
  </si>
  <si>
    <t>Conveyance Plat</t>
  </si>
  <si>
    <t>City Preliminary Site Plan</t>
  </si>
  <si>
    <t>Turn Lane Design / Median Opening</t>
  </si>
  <si>
    <t>DOT Driveway Permit</t>
  </si>
  <si>
    <t>Offsite Water Design</t>
  </si>
  <si>
    <t>Sewer Capacity Analysis</t>
  </si>
  <si>
    <t>Flood Study</t>
  </si>
  <si>
    <t>Franchise Utility Coordination</t>
  </si>
  <si>
    <t>USACE Permitting</t>
  </si>
  <si>
    <t>Utility Availability Letters</t>
  </si>
  <si>
    <t xml:space="preserve">Grand Total </t>
  </si>
  <si>
    <t>Zoning Assistance</t>
  </si>
  <si>
    <t>City Final Site Plan</t>
  </si>
  <si>
    <t>Presentations / Project Meetings</t>
  </si>
  <si>
    <t>On-Call Services</t>
  </si>
  <si>
    <t>Storm Water Pollution Prevention Plan (SWPPP)</t>
  </si>
  <si>
    <t>Subtotal</t>
  </si>
  <si>
    <t>Task</t>
  </si>
  <si>
    <t>Client Company</t>
  </si>
  <si>
    <t>Client Name</t>
  </si>
  <si>
    <t>Client Address 1</t>
  </si>
  <si>
    <t>Client Address 2</t>
  </si>
  <si>
    <t>Client City State</t>
  </si>
  <si>
    <t>Client Salutation</t>
  </si>
  <si>
    <t>Date</t>
  </si>
  <si>
    <t>KH Office Address</t>
  </si>
  <si>
    <t>KH Office Phone</t>
  </si>
  <si>
    <t>Phase</t>
  </si>
  <si>
    <t>SD</t>
  </si>
  <si>
    <t>DD</t>
  </si>
  <si>
    <t>CD</t>
  </si>
  <si>
    <t xml:space="preserve">Boundary Retracement </t>
  </si>
  <si>
    <t>Submittals and Permitting</t>
  </si>
  <si>
    <t>Mass Grading Plan</t>
  </si>
  <si>
    <t>Preliminary On-Site Civil Engineering</t>
  </si>
  <si>
    <t>Final On-Site Civil Engineering</t>
  </si>
  <si>
    <t>Meetings and Team Coordination</t>
  </si>
  <si>
    <t>Storm Drainage Analysis / Downstream Assessment</t>
  </si>
  <si>
    <t>Community Facilities Agreement / Three-Way Contract Assistance</t>
  </si>
  <si>
    <t>KH Internal Use Only.  Will not print.</t>
  </si>
  <si>
    <t>Typical Fee Ranges</t>
  </si>
  <si>
    <t>Low</t>
  </si>
  <si>
    <t>Typical</t>
  </si>
  <si>
    <t>High</t>
  </si>
  <si>
    <t>Used</t>
  </si>
  <si>
    <t>Hourly rate used</t>
  </si>
  <si>
    <t>State Sales Tax %</t>
  </si>
  <si>
    <t>Site Visits - Civil</t>
  </si>
  <si>
    <t>Record Drawings - Civil</t>
  </si>
  <si>
    <t>Site Visits - Landscape</t>
  </si>
  <si>
    <t>Record Drawings - Landscape</t>
  </si>
  <si>
    <t>Engineer's Opinion of Probable Construction Costs (OPCC)</t>
  </si>
  <si>
    <t>Response to RFI / Submittals - Civil</t>
  </si>
  <si>
    <t>Response to RFI / Submittals - Landscape</t>
  </si>
  <si>
    <t>Code Landscape Plan</t>
  </si>
  <si>
    <t>Irrigation Plan</t>
  </si>
  <si>
    <t xml:space="preserve">Landscape and Hardscape Schematic Design </t>
  </si>
  <si>
    <t>Landscape and Hardscape Design Development</t>
  </si>
  <si>
    <t>Landscape and Hardscape Construction Drawings</t>
  </si>
  <si>
    <t xml:space="preserve">Schematic Lighting Design </t>
  </si>
  <si>
    <t>Task #</t>
  </si>
  <si>
    <t>Separate Instrument Easement (Each)</t>
  </si>
  <si>
    <t xml:space="preserve"> </t>
  </si>
  <si>
    <t>Hours included</t>
  </si>
  <si>
    <t>Basic Site Civil Engineering Services</t>
  </si>
  <si>
    <t>Due Diligence Services</t>
  </si>
  <si>
    <t>Entitlement Services</t>
  </si>
  <si>
    <t>Fee Per Sheet</t>
  </si>
  <si>
    <t>Sheet Count</t>
  </si>
  <si>
    <t>Tree Inventory</t>
  </si>
  <si>
    <t>All LA fees need to be checked by LA PM</t>
  </si>
  <si>
    <t>Basic Landscape Architectural Services</t>
  </si>
  <si>
    <t>Landscape Architectural Value Engineering</t>
  </si>
  <si>
    <t>Enhanced Landscape Architectural Services</t>
  </si>
  <si>
    <t>Construction Phase Services</t>
  </si>
  <si>
    <t>Fees Summarized by Design Phase</t>
  </si>
  <si>
    <t>Schematic Design Phase</t>
  </si>
  <si>
    <t>Design Development Phase</t>
  </si>
  <si>
    <t>Construction Document Phase</t>
  </si>
  <si>
    <t>Grand Total</t>
  </si>
  <si>
    <t>CP</t>
  </si>
  <si>
    <t>Item</t>
  </si>
  <si>
    <t>State</t>
  </si>
  <si>
    <t>TX</t>
  </si>
  <si>
    <t>Expenses:</t>
  </si>
  <si>
    <t>Sales Tax:</t>
  </si>
  <si>
    <t>Special Use Permit / Conditional Use Permit / Variance Assistance</t>
  </si>
  <si>
    <t>Presentation Graphics and 3D Visualization</t>
  </si>
  <si>
    <t>Signal Warrant Analysis</t>
  </si>
  <si>
    <t>Offsite Wastewater Design</t>
  </si>
  <si>
    <t>Subtotal fees</t>
  </si>
  <si>
    <t>Surveying Services</t>
  </si>
  <si>
    <t>Ms. Smith</t>
  </si>
  <si>
    <t>Ms. Jane Smith</t>
  </si>
  <si>
    <t>Agreement for Professional Services - Site Civil Engineering</t>
  </si>
  <si>
    <t>700 Main Street</t>
  </si>
  <si>
    <t>Suite 100</t>
  </si>
  <si>
    <t>Desc2</t>
  </si>
  <si>
    <t>Desc1</t>
  </si>
  <si>
    <t>Desc3</t>
  </si>
  <si>
    <t>KH Signer1 Name</t>
  </si>
  <si>
    <t>KH Signer1 Title</t>
  </si>
  <si>
    <t>Senior Vice President</t>
  </si>
  <si>
    <t>KH Signer2 Name</t>
  </si>
  <si>
    <t>KH Signer2 Title</t>
  </si>
  <si>
    <t>James R. Hall, P.E. (TX)</t>
  </si>
  <si>
    <t>Matthew A. Lucas, P.E. (TX)</t>
  </si>
  <si>
    <t>Task Name</t>
  </si>
  <si>
    <t>Enter the information to display in the letter agreement</t>
  </si>
  <si>
    <t>Enter the name/title of a second KH person who will be signing the letter</t>
  </si>
  <si>
    <t>Enter the name/title of the KH person who will be signing the letter</t>
  </si>
  <si>
    <t>Enter the information to display in your letter agreement</t>
  </si>
  <si>
    <t>This task will be customized after discussion of additional needs with the Client.</t>
  </si>
  <si>
    <t xml:space="preserve">KH will provide assistance to the Client and other members of the design team in support the Client’s rezoning request.  KH will serve in a support role and will not be the lead consultant in this effort.  It is our understanding that the zoning written document and supporting documentation will be prepared and submitted by others.  KH will participate in strategy calls and meetings and will review draft deliverables prior to submission.  KH will attend one meeting with review staff and one meeting at which the submission is considered for approval.  </t>
  </si>
  <si>
    <t>KH will provide assistance to the Client and other members of the design team in support of the Client’s SUP/CUP/Variance request.  KH will serve in a support role and will not be the lead consultant in this effort.  It is our understanding that the SUP/CUP written document and supporting documentation will be prepared and submitted by others.  KH will participate in strategy calls and meetings and will review draft deliverables prior to submission.  KH will attend one meeting with review staff and one meeting at which the submission is considered for approval.</t>
  </si>
  <si>
    <t>This task is intended to capture effort expended by KH on tasks that are requested by the Client but are not already included in the defined scope of services.  This task is also intended to capture effort necessary to complete a task beyond the effort included in the detailed scope description.</t>
  </si>
  <si>
    <t>KH will prepare a demolition, grading, paving, and striping plan for the proposed paving.  The turn lane plans will be submitted concurrently with the on-site civil engineering plans, not as a separate plan set.</t>
  </si>
  <si>
    <t xml:space="preserve">KH can provide permitting services for an Individual Permit or a Nationwide Permit 29. Since this specialized work varies greatly in scope and cost this task will be customized after discussion of needs with the Client.  </t>
  </si>
  <si>
    <t>Use brief and clear sentences.</t>
  </si>
  <si>
    <t>Simply say what we are going to do…don’t be compelled to limit it or list the things we are not going to do but may come up…stick to what we are going to do.</t>
  </si>
  <si>
    <t>Don’t write “one (1)”…just write the word “one”…and so on.</t>
  </si>
  <si>
    <t>Style and content standards for writing task descriptions:</t>
  </si>
  <si>
    <t>LS+Tax</t>
  </si>
  <si>
    <t>Site Specific &amp; Specialty Civil Engineering Services</t>
  </si>
  <si>
    <t>USACE Field Reconnaissance and Site Visit Memorandum</t>
  </si>
  <si>
    <t>TASK DESCRIPTIONS</t>
  </si>
  <si>
    <t>TASK AND FEE SUMMARY</t>
  </si>
  <si>
    <t>PROJECT UNDERSTANDING</t>
  </si>
  <si>
    <t>For all projects:</t>
  </si>
  <si>
    <t>Our scope of services terminates five feet from the building(s) and at the property line of the site.</t>
  </si>
  <si>
    <t>Our services will be performed in general accordance with current published City design standards.</t>
  </si>
  <si>
    <t xml:space="preserve">KH does not guarantee the issuance of permits or approvals.  If permits are issued for this project, the conditions and expiration dates are the sole responsibility of the Client.  </t>
  </si>
  <si>
    <t xml:space="preserve">The adjacent water, wastewater, and storm sewer mains are adequate in size to serve the proposed use and no offsite extensions or improvements will be required. No design or study of offsite improvements to water, wastewater, roadways, traffic signals, or any other utility or improvement is known at this time and is therefore excluded.  </t>
  </si>
  <si>
    <t xml:space="preserve">The site development is not anticipated to impact United States Army Corps of Engineers jurisdictional areas or other Environmentally Sensitive Areas. </t>
  </si>
  <si>
    <t xml:space="preserve">Traffic control plans, if required, will be prepared by the Contractor or others and is not part of our scope. </t>
  </si>
  <si>
    <t>Access improvements are limited to driveway connections only, and reconstruction of adjacent roadways will not be required. Deceleration/Acceleration or modifications to existing medians for left-turn lanes will not be required.</t>
  </si>
  <si>
    <t xml:space="preserve">The site development is not anticipated to impact any published FEMA floodplain area. </t>
  </si>
  <si>
    <t>Detention of the site’s runoff will not be required. No storm water quality design will be required.</t>
  </si>
  <si>
    <t xml:space="preserve">A Traffic Impact Analysis will not be required. </t>
  </si>
  <si>
    <t>KH has been provided survey information and instructed to use it for our design.  KH will not be liable for errors or omissions in our work that were contributed to by errors or omissions in the survey.</t>
  </si>
  <si>
    <t>FEE TYPES, EXPENSES, BILLING, STANDARD PROVISIONS</t>
  </si>
  <si>
    <t xml:space="preserve">In-House Expenses:  A percentage of the labor fee, as shown in the Task and Fee Summary Table, will be included in each invoice to cover certain expenses:  telecommunications, in-house reproduction, postage, supplies, and local mileage. </t>
  </si>
  <si>
    <t xml:space="preserve">All permitting, application, recording, and similar project fees will be paid directly by the Client. </t>
  </si>
  <si>
    <t>Other Reimbursable Expenses: Direct reimbursable expenses such as FedEx, couriers, print-shop reproduction, travel, and other direct expenses will be billed at cost plus the markup as shown in the Task and Fee Summary Table.</t>
  </si>
  <si>
    <t>AUTHORIZATION</t>
  </si>
  <si>
    <t>KIMLEY-HORN AND ASSOCIATES, INC.</t>
  </si>
  <si>
    <t>Title</t>
  </si>
  <si>
    <t>Signature</t>
  </si>
  <si>
    <t>STANDARD PROVISIONS</t>
  </si>
  <si>
    <t>(b) If the Client relies on payment or proceeds from a third party to pay Consultant and Client does not pay Consultant’s invoice within 60 days of receipt, Consultant may communicate directly with such third party to secure payment.</t>
  </si>
  <si>
    <t>(c)  If the Client objects to an invoice, it must advise the Consultant in writing giving its reasons within 14 days of receipt of the invoice or the Client’s objections will be waived, and the invoice shall conclusively be deemed due and owing.  If the Client objects to only a portion of the invoice, payment for all other portions remains due within 25 days of receipt.</t>
  </si>
  <si>
    <t>(d)  If the Consultant initiates legal proceedings to collect payment, it may recover, in addition to all amounts due, its reasonable attorneys' fees, reasonable experts' fees, and other expenses related to the proceedings.  Such expenses shall include the cost, at the Consultant's normal hourly billing rates, of the time devoted to such proceedings by its employees.</t>
  </si>
  <si>
    <t>Request Retainer</t>
  </si>
  <si>
    <t>Project Data</t>
  </si>
  <si>
    <t>Acreage</t>
  </si>
  <si>
    <t>Units</t>
  </si>
  <si>
    <t>Square Footage</t>
  </si>
  <si>
    <t>Analyst</t>
  </si>
  <si>
    <t>STANDARD RATE SCHEDULE</t>
  </si>
  <si>
    <t>Contract Value</t>
  </si>
  <si>
    <t>Retainer %</t>
  </si>
  <si>
    <t>Instructions to Use this Template</t>
  </si>
  <si>
    <t>This template is an effort to provide not only standardized and well conceived task descriptions but also certain business standards on how to deal with topics like expenses, hourly max fees, and how city reviews are handled.  The user can edit the template freely as items are negotiated with the Client, but should try to use the ideas contained in the template as a starting point.</t>
  </si>
  <si>
    <t>In most cases, try to avoid changes to the standard task descriptions.  Some tasks however, are written to be updated once the scope is clearly understood - offsite utility design or TIA tasks, for example.  You can either update the description to give details on the size, extents, etc. of the task or you can add a project specific note describing the specific scope in the section of the proposal entitled “Our scope and fee are based on the following”,  under the heading “For this project”.</t>
  </si>
  <si>
    <t>The spreadsheet is organized by tabs:</t>
  </si>
  <si>
    <t>“Notes”  =  Notes and assumptions that our scope is based upon.  It is organized in two sections:  The first set of notes apply “For all projects” and can probably be left as-is; The second set of notes apply “For this project”.  Common project specific notes are included but you’ll likely want to edit this list to make it right for your project.</t>
  </si>
  <si>
    <t xml:space="preserve">“Task Descriptions” = Standardized tasks that, for the most part, should not need to be edited.   Each section includes a task called “Other” that you can use to create a custom task as needed.  Use the Style and content standards, below, for writing these so they are consistent.  There are some notes and instructions in the right hand margin of this tab describing how to add or edit tasks.  </t>
  </si>
  <si>
    <t>There are several macros in the spreadsheet with the following functions:</t>
  </si>
  <si>
    <t xml:space="preserve">Do not send the template or spreadsheet to the client – only a PDF. </t>
  </si>
  <si>
    <t>Refer to Jurisdiction, not City, County, DOT, etc. – and especially not a certain city.</t>
  </si>
  <si>
    <t>Avoid flowery language and most technical terms.</t>
  </si>
  <si>
    <t>Do NOT change the Sheet (i.e. tab) Names or the macros will not work properly.</t>
  </si>
  <si>
    <t>Hours Included</t>
  </si>
  <si>
    <t xml:space="preserve">This task is intended to capture effort expended by KH on tasks that are requested by the Client but are not already included in the defined scope of services.  This task is also intended to capture effort necessary to complete a task beyond the effort included in the detailed scope description. </t>
  </si>
  <si>
    <t>Subsurface Utility Exploration (SUE)</t>
  </si>
  <si>
    <t xml:space="preserve">KH will, via a sub-consultant, expose certain utilities using SUE methods and collect survey data on their exposed location.  This information will be used during civil engineering design.  Since this work varies greatly in scope and cost this task will be customized after discussion of needs with the Client. </t>
  </si>
  <si>
    <t>If a site is being developed in multiple phases or if a site requires export or import of earth, a Mass Grading Plan is sometimes requested.  KH will prepare this plan to show existing and proposed grading conditions and will summarize approximate cut and fill by phase or location.  Since this work varies greatly in scope and cost this task will be customized after discussion of needs with the Client.</t>
  </si>
  <si>
    <t>Storm Water Detention Facility Plan</t>
  </si>
  <si>
    <t xml:space="preserve">KH will perform a signal warrant analysis at the subject intersection. KH will utilize turning movement data from the current TIA or as provided by the Client.  Additional scope and fee will be required if this task is not being done concurrently with a TIA.  If the signal warrant is based on future volumes, KH will project the hourly traffic volumes generated by the proposed project using industry standard traffic engineering resources and techniques.  KH will submit the analysis to the Client for review, and then submit it  to the reviewing agency.  </t>
  </si>
  <si>
    <t>KH will prepare a one sheet code landscape plan in an effort to meet the code landscape requirements set forth in the reviewing agency’s published regulations. The plan will be used for city code review and preliminary pricing, but will not include adequate detail for bidding and construction of the project. The plan will consist of a landscape plan and supporting landscape code calculations and data tables.</t>
  </si>
  <si>
    <t xml:space="preserve">This task is to capture effort expended by KH making client-directed value engineering changes to the plans, the resulting additional team coordination, and changes to the landscape and hardscape design after Construction Drawings are underway.  Because the extent of the effort required is unknown we have provided a projected budget for these services but actual cost will depend on actual effort expended.  </t>
  </si>
  <si>
    <t>Number of units, building square footage, other building details.</t>
  </si>
  <si>
    <t>Project type - "The client desires to develop a new multi-family project."</t>
  </si>
  <si>
    <t>Any special engineering or site assumptions and notes will be customized in the "NOTES" tab.</t>
  </si>
  <si>
    <t>Subject Site</t>
  </si>
  <si>
    <t>We shall be entitled to rely on the accuracy and completeness of information provided to us by the others.  The following items are anticipated:</t>
  </si>
  <si>
    <t>Design of Life Safety lighting and signage is beyond the scope of this agreement.</t>
  </si>
  <si>
    <t>OUR SCOPE AND FEE ARE BASED ON THE FOLLOWING</t>
  </si>
  <si>
    <t xml:space="preserve">The property is zoned to allow the intended use.  Changes to the zoning and/or request for variances or special use permits will not be required. </t>
  </si>
  <si>
    <t xml:space="preserve">Our plans will establish proposed finished grade elevations outside the building.  The client understands that there is the potential for vertical movement of flatwork after construction is complete.  The amount of vertical movement can be mitigated by preparing the subgrade beneath the flatwork like the subgrade under the building.  We recommend that the client obtain building and flatwork subgrade preparation recommendations from the Geotechnical engineer.  Our plans will direct the contractor to the Geotechnical Report for subgrade recommendations.  The client understands that even with proper subgrade preparation of the building and the flatwork there is still the potential for vertical movement and finely graded areas, ADA routes, etc. may need to be adjusted and maintained in the future if they move. </t>
  </si>
  <si>
    <t xml:space="preserve">Project billing will be monthly and payment will be due within 25 days.  </t>
  </si>
  <si>
    <t>The Consultant is not a Contingent Partner in this project.  As such the Consultant will be paid in full for all Professional Services rendered.</t>
  </si>
  <si>
    <t xml:space="preserve">Use “KH” not “Kimley-Horn” </t>
  </si>
  <si>
    <t xml:space="preserve">Copy font, indent, styles, bullets, etc. from section 1.0 to draft new tasks.  </t>
  </si>
  <si>
    <t>How to add, edit, and delete tasks without breaking the spreadsheet:</t>
  </si>
  <si>
    <t>If you need to edit a task name do so in the TaskTable tab first.  It will update elsewhere automatically.</t>
  </si>
  <si>
    <t>If you need to add a task use the "OTHER" row that is provided in each section rather than inserting a new row.</t>
  </si>
  <si>
    <r>
      <t xml:space="preserve">If you need to add a row copy the formatting from an </t>
    </r>
    <r>
      <rPr>
        <u/>
        <sz val="10"/>
        <color theme="1"/>
        <rFont val="Arial"/>
        <family val="2"/>
        <scheme val="minor"/>
      </rPr>
      <t>entire similar row</t>
    </r>
    <r>
      <rPr>
        <sz val="10"/>
        <color theme="1"/>
        <rFont val="Arial"/>
        <family val="2"/>
        <scheme val="minor"/>
      </rPr>
      <t>, then update task numbers, etc.</t>
    </r>
  </si>
  <si>
    <t>If you want to edit a cell, see first if it is a formula.  If a formula, you likely need to edit somewhere else and let the formula update the target cell automatically.</t>
  </si>
  <si>
    <t xml:space="preserve">Fees are to perform each task one time.  Revisions to address Jurisdictional or Client review comments will be made on an hourly basis under the appropriate Submittals and Permitting Task. </t>
  </si>
  <si>
    <t>(Enter "Yes" or "No")</t>
  </si>
  <si>
    <t>972 770 1300</t>
  </si>
  <si>
    <t>ABC Developer, Inc.</t>
  </si>
  <si>
    <t>Uptown Multifamily</t>
  </si>
  <si>
    <t xml:space="preserve">Acreage is used in some survey fee calculations.  </t>
  </si>
  <si>
    <t xml:space="preserve">Enter other project data here if it is to be used similarly. </t>
  </si>
  <si>
    <t>We are currently testing DocuSign for electronic signatures.</t>
  </si>
  <si>
    <t>The approval and signature process is anticipated to be:</t>
  </si>
  <si>
    <t>1.  Project Manager prepares the agreement</t>
  </si>
  <si>
    <t>2.  Person with signing authority reviews it and provides comments.</t>
  </si>
  <si>
    <t>You can include or exclude the rate schedule in the SETUP tab.</t>
  </si>
  <si>
    <r>
      <t>When you open the file, you will see a Security Warning telling you that macros have been disabled.  You need to click the "</t>
    </r>
    <r>
      <rPr>
        <b/>
        <i/>
        <sz val="10"/>
        <color theme="1"/>
        <rFont val="Arial"/>
        <family val="2"/>
        <scheme val="minor"/>
      </rPr>
      <t>Enable Content</t>
    </r>
    <r>
      <rPr>
        <i/>
        <sz val="10"/>
        <color theme="1"/>
        <rFont val="Arial"/>
        <family val="2"/>
        <scheme val="minor"/>
      </rPr>
      <t>" button for the macros to work.</t>
    </r>
  </si>
  <si>
    <t>Add new rows above this line.</t>
  </si>
  <si>
    <t>Revision Log</t>
  </si>
  <si>
    <t>Description of Change</t>
  </si>
  <si>
    <t>Name</t>
  </si>
  <si>
    <t>Jessica Harris</t>
  </si>
  <si>
    <t>Updated instructions tab to add info about security warning when opening workbook.
Changed row heights on Std Provisions tab, added protection to std provisions tab (no password)</t>
  </si>
  <si>
    <t>If you need to make changes, simply unprotect the sheet by going to the Review tab and selecting Unprotect sheet</t>
  </si>
  <si>
    <t>KH will prepare on-site civil engineering plans consisting of the following:</t>
  </si>
  <si>
    <t xml:space="preserve">KH will request, schedule, prepare for, and attend a pre-application meeting with the primary local jurisdiction.  KH will prepare and distribute notes with suggested follow-up actions to the design team and Client following the meeting. 
</t>
  </si>
  <si>
    <t xml:space="preserve">KH will request confirmation from a local gas, electric, cable/data, and telephone provider that they have facilities available to serve the proposed development.  If commitment for specific loading demands are needed, the Client or MEP will provide them to KH to include in the request.  KH will forward utility company correspondence to the Client when it is received. 
</t>
  </si>
  <si>
    <t xml:space="preserve">KH will work to obtain Record Drawings for existing water, sanitary sewer, storm drainage, and roadway improvements on or immediately adjacent to the site.  KH will work to obtain current site and civil engineering design guidelines, applications, and checklists published by the local jurisdiction to be used for the civil engineering design of the project.
</t>
  </si>
  <si>
    <t xml:space="preserve">KH will prepare a schedule consisting of anticipated submittals, reviews, and hearings based on the published process and calendar available from the primary local jurisdiction.  The schedule will be limited to civil/site design items and distributed to the Client and other members of the project design team to aid the Client with project and team management.  
</t>
  </si>
  <si>
    <t xml:space="preserve">KH will schedule, prepare for, and attend one meeting with the City Staff (if permitted by Client), up to three hours in length.  KH will perform research to the extent practical given the scope, budget, and schedule agreed to with Client.  The report contents will be based on information provided to us by others (City staff, Utility Company Representatives, etc.) and therefore is only as accurate and complete as the information provided to us. New issues may arise during development because of changes in governmental rules and policy, changed circumstances, or unforeseen/unknown site conditions.  KH will provide a copy of the completed SIR in digital format (PDF or similar).  The Client may use this report as part of its due diligence, but this report should not be used as the sole basis for the Client’s decision making.
</t>
  </si>
  <si>
    <t xml:space="preserve">If KH scope includes a Tree Inventory this survey will show the approximate locations and tag numbers corresponding to the on-site trees, marked and categorized by KH under the Tree Inventory task.  If KH scope does not include a Tree Inventory then this survey will show approximate locations of trees, their likely species, and estimate of their size.  We will endeavor to locate all trees meeting the requirements of the local tree protection ordinance.
</t>
  </si>
  <si>
    <t xml:space="preserve">KH will prepare and submit a Concept Plan, Checklist, and Application to the local jurisdiction for review.  KH will attend one meeting with review staff and, if required, one public hearing at which the plan is considered for approval.
</t>
  </si>
  <si>
    <t xml:space="preserve">KH will prepare and submit a Preliminary Site Plan, Checklist, and Application to the local jurisdiction for review.  KH will attend one meeting with review staff and, if required, one public hearing at which the plan is considered for approval.
</t>
  </si>
  <si>
    <t xml:space="preserve">KH will prepare and submit a Final Site Plan, Checklist, and Application to the local jurisdiction for review.  KH will attend one meeting with review staff and, if required, one public hearing at which the plan is considered for approval.
</t>
  </si>
  <si>
    <t xml:space="preserve">KH is able to prepare items such as colored site plans, colored landscape plans, land use plans, site and roadway alignment graphics, and other presentation material to help illustrate the proposed development during the entitlement process.  KH is also able to prepare three-dimensional perspective views and fly-throughs.  Since this specialized work varies greatly in scope  and cost this task will be customized after discussion of needs with the Client.   
</t>
  </si>
  <si>
    <t xml:space="preserve">This task is to capture effort expended by KH for project submittals and responses to jurisdictional review comments beyond the effort otherwise included in our scope of services. Because the extent of the review comments required by the city for plan approval is unknown we have provided a projected budget for these services but actual cost will depend on actual effort required.
</t>
  </si>
  <si>
    <r>
      <rPr>
        <u/>
        <sz val="9"/>
        <color theme="1"/>
        <rFont val="Arial"/>
        <family val="2"/>
        <scheme val="minor"/>
      </rPr>
      <t>Cover Sheet</t>
    </r>
    <r>
      <rPr>
        <sz val="9"/>
        <color theme="1"/>
        <rFont val="Arial"/>
        <family val="2"/>
        <scheme val="minor"/>
      </rPr>
      <t>: Showing sheet index, project location map, contact information, and plan submittal and review log.</t>
    </r>
  </si>
  <si>
    <r>
      <rPr>
        <u/>
        <sz val="9"/>
        <color theme="1"/>
        <rFont val="Arial"/>
        <family val="2"/>
        <scheme val="minor"/>
      </rPr>
      <t>Dimension Control Plan</t>
    </r>
    <r>
      <rPr>
        <sz val="9"/>
        <color theme="1"/>
        <rFont val="Arial"/>
        <family val="2"/>
        <scheme val="minor"/>
      </rPr>
      <t>:  Showing the building envelope (provided by architect) and property boundary with dimensional ties for building envelopes, parking, and roadway(s).</t>
    </r>
  </si>
  <si>
    <r>
      <rPr>
        <u/>
        <sz val="9"/>
        <color theme="1"/>
        <rFont val="Arial"/>
        <family val="2"/>
        <scheme val="minor"/>
      </rPr>
      <t>General Notes and Project Specifications</t>
    </r>
    <r>
      <rPr>
        <sz val="9"/>
        <color theme="1"/>
        <rFont val="Arial"/>
        <family val="2"/>
        <scheme val="minor"/>
      </rPr>
      <t>:  Showing general notes related to proposed construction based on jurisdictional standards.</t>
    </r>
  </si>
  <si>
    <r>
      <rPr>
        <u/>
        <sz val="9"/>
        <color theme="1"/>
        <rFont val="Arial"/>
        <family val="2"/>
        <scheme val="minor"/>
      </rPr>
      <t>Storm Drainage Plan</t>
    </r>
    <r>
      <rPr>
        <sz val="9"/>
        <color theme="1"/>
        <rFont val="Arial"/>
        <family val="2"/>
        <scheme val="minor"/>
      </rPr>
      <t>:  Showing proposed storm inlet and storm drain sizes and locations for site drainage in plan view. The plan will also show private storm drain to collect roof downspouts, for which the pipe size will be determined by the MEP engineer. If provided in a timely manner, KH will coordinate design and location of area drains with the Landscape Architect and design a pipe system to collect the area drains; if not provided in a timely manner KH will stub out a pipe for the Landscape Architect to connect the drainage system they design.</t>
    </r>
  </si>
  <si>
    <r>
      <rPr>
        <u/>
        <sz val="9"/>
        <color theme="1"/>
        <rFont val="Arial"/>
        <family val="2"/>
        <scheme val="minor"/>
      </rPr>
      <t>Paving and Striping Plan</t>
    </r>
    <r>
      <rPr>
        <sz val="9"/>
        <color theme="1"/>
        <rFont val="Arial"/>
        <family val="2"/>
        <scheme val="minor"/>
      </rPr>
      <t>:  Showing proposed paving type for parking areas, fire lanes and drives based upon recommendations in the Geotechnical report provided by the Client.  This plan will show handicap parking signage.</t>
    </r>
  </si>
  <si>
    <r>
      <rPr>
        <u/>
        <sz val="9"/>
        <color theme="1"/>
        <rFont val="Arial"/>
        <family val="2"/>
        <scheme val="minor"/>
      </rPr>
      <t>Water and Wastewater Plan</t>
    </r>
    <r>
      <rPr>
        <sz val="9"/>
        <color theme="1"/>
        <rFont val="Arial"/>
        <family val="2"/>
        <scheme val="minor"/>
      </rPr>
      <t xml:space="preserve">:  Showing on-site water and wastewater plan layouts and wastewater profiles.  </t>
    </r>
  </si>
  <si>
    <r>
      <rPr>
        <u/>
        <sz val="9"/>
        <color theme="1"/>
        <rFont val="Arial"/>
        <family val="2"/>
        <scheme val="minor"/>
      </rPr>
      <t>Drainage Area Map</t>
    </r>
    <r>
      <rPr>
        <sz val="9"/>
        <color theme="1"/>
        <rFont val="Arial"/>
        <family val="2"/>
        <scheme val="minor"/>
      </rPr>
      <t>:  Showing existing and proposed on-site and applicable off-site drainage patterns and discharges to/from the site to be used as the basis for drainage system sizing and layout.  Landscaped areas will be shown as individual drainage areas for sizing of a receiving pipe. Small drainage areas for each individual landscape drain will not be shown and will be designed by the Landscape Architect.</t>
    </r>
  </si>
  <si>
    <t xml:space="preserve">KH will prepare a Storm Water Pollution Prevention Plan (SWPPP) for the site in general accordance with current published Texas Commission on Environmental Quality (TCEQ) standards.  This task will incorporate the Erosion Control Plan for the site, prepared under a separate task, to be included with the SWPPP report. The contractor is responsible for all permit application, inspections, record keeping, and adjustments to the SWPPP during construction in accordance with the terms of their permits.
</t>
  </si>
  <si>
    <t xml:space="preserve">KH will prepare a TIA for the project.  KH will meet one time,  in person or via conference call, with the reviewing agency to discuss and agree on the TIA scope for the project. KH will arrange to collect turning movement counts at the study intersections and 24-hour machine counts on the roadways to be studied.  KH will develop a projection of the project’s vehicular trip generation and predicted distribution onto the identified roadways.  KH will analyze the existing conditions and several future-year scenarios at the study intersections and roadway links with and without the trips projected from the project.  If the TIA indicates the need for changes to the roadway or mitigation measures, KH will make recommendations in an effort to mitigate impacts caused by the project.  The results of the TIA will be documented in a memorandum. KH will submit the memorandum to the Client for review, and then submit it  to the reviewing agency.    Since this work varies greatly in scope and cost, this task will be customized after discussion of needs with the Client.
</t>
  </si>
  <si>
    <t xml:space="preserve">KH will design a new signal for the subject intersection.  The signal design will use the existing intersection layout per a current survey or the proposed intersection layout showing agency-approved improvements. KH will visit the site once to review existing conditions.  KH will prepare signal design sheets showing: poles, controllers, vehicle detectors, and ground boxes, conduit runs, wiring table, signal head designations, pavement markings (stop bars and crosswalks only), signal signing, curb ramps, observed utilities, communications equipment, and power source. Electrical design, if required, will be by others. KH will include standard details and general specifications for the work.  
</t>
  </si>
  <si>
    <t xml:space="preserve">New access points to TxDOT controlled roadways typically require a driveway permit to be submitted and processed in conjunction with the on-site civil construction plan review.  The level of detail and specific forms will vary depending on the type of driveway and the area office with jurisdiction.  KH will prepare and submit one application for a driveway permit.  KH will submit the application to the Client for review, and then submit it  to the reviewing agency.  Since this work varies greatly in scope and cost, this task will be customized after discussion of needs with the Client.
</t>
  </si>
  <si>
    <t xml:space="preserve">The Traffic Control Plan (TCP) will show the placement of temporary traffic control devices and temporary striping based on the reviewing agency standards and the standards in the state’s Manual on Uniform Traffic Control Devices (MUTCD).  Implementation, execution, and updates as needed during construction of the TCP will be completed by the contractor, who is solely responsible for means and methods and for all aspects of public and contractor safety within, and adjacent to, the project. Since this work varies greatly in scope and cost depending on the complexity of the construction project, the work area, and the number of TCP phases, this task will be customized after discussion of needs with the Client.
</t>
  </si>
  <si>
    <t xml:space="preserve">KH will prepare an OPCC of the civil on-site improvements. The deliverable for this task will be one spreadsheet in PDF format.  KH has no control over the cost of labor, materials, equipment, or over the Contractor's methods of determining prices or over competitive bidding or market conditions. Opinions of probable costs are based on the information known to KH at the time and represent only KH’s judgment as a design professional familiar with the construction industry. KH cannot and does not guarantee that proposals, bids, or actual construction costs will not vary from the OPCC.
</t>
  </si>
  <si>
    <t xml:space="preserve">This task is to capture effort expended by KH for project submittals and responses to jurisdictional review comments beyond the effort otherwise included in our scope of services. Because the extent of the review comments required by the city for plan approval is unknown we have provided a projected budget for these services but actual cost will depend on actual effort required.  
</t>
  </si>
  <si>
    <t xml:space="preserve">Based upon the Schematic Design KH will prepare Design Development plans and a Preliminary Opinion of Probable Construction Costs . The Design Development plans will show layout and details for City code review and preliminary pricing, but they will not include enough detail for construction. The Design Development plans are intended to guide the design, planning, and programming of the project and are to be used by the client to develop an approximate construction cost. KH will attend one meeting with the Client to review the plans.  Based on input received during this meeting, KH will prepare the Final Design Development Plan that will become the basis of further design efforts. 
</t>
  </si>
  <si>
    <t xml:space="preserve">Irrigation plans will be prepared upon Client approval of the landscape and hardscape construction documents.  The Irrigation plans will show head layout, pipe sizing, controller/valve locations, and standards details. The Client will specify preferred irrigation equipment brand (Toro, Hunter, Weathermatic, or Rainbird) prior to initiation of the irrigation design. 
</t>
  </si>
  <si>
    <t xml:space="preserve">KH will perform design calculations to size one on-site stormwater detention facility.  Facility sizing results, proposed finished grading elevations, and design water surface elevations will be shown on the plans.   The Facility outfall improvements will be shown on the Storm Drainage Plan.  Direction to the contractor regarding the lining material for a detention pond facility will be obtained by the Client as part of their geotechnical recommendations for the project and are not part of this limited scope.      
</t>
  </si>
  <si>
    <t>Added Macro to hide retainer rows on Authorization tab
Changed Print macros to go to Print Preview instead of printing to default printer
Updated instructions on Task Descriptions tab - also adjusted spacing.</t>
  </si>
  <si>
    <t>Yes</t>
  </si>
  <si>
    <t>Updated Hide/Unhide rows macro to start at row 2 instead of row 3</t>
  </si>
  <si>
    <t xml:space="preserve">If you change task numbers in the TaskTable tab make sure the yellow column in the Task Descriptions tab matches. </t>
  </si>
  <si>
    <r>
      <t xml:space="preserve">KH will prepare on-site preliminary civil engineering plans consisting of the following:
</t>
    </r>
    <r>
      <rPr>
        <u/>
        <sz val="9"/>
        <color theme="1"/>
        <rFont val="Arial"/>
        <family val="2"/>
        <scheme val="minor"/>
      </rPr>
      <t>Preliminary Grading Plan</t>
    </r>
    <r>
      <rPr>
        <sz val="9"/>
        <color theme="1"/>
        <rFont val="Arial"/>
        <family val="2"/>
        <scheme val="minor"/>
      </rPr>
      <t xml:space="preserve">: KH will conduct one meeting with the Client and project team to discuss grading intent and desires for the project.  KH will prepare one preliminary grading plan that will show finished floors, suggested building splits, retaining wall locations and heights, and paving grades – all to a low level of detail compared to final construction drawings, but conceptually workable.  KH will prepare up to two volume analyses of the plan in Civil 3D and make up to two minor adjustments to the plan based on results of volume analysis.  KH will then conduct one meeting with the Client and project team to present plan and volume analysis results.  
</t>
    </r>
    <r>
      <rPr>
        <u/>
        <sz val="9"/>
        <color theme="1"/>
        <rFont val="Arial"/>
        <family val="2"/>
        <scheme val="minor"/>
      </rPr>
      <t>Preliminary Utility Plan</t>
    </r>
    <r>
      <rPr>
        <sz val="9"/>
        <color theme="1"/>
        <rFont val="Arial"/>
        <family val="2"/>
        <scheme val="minor"/>
      </rPr>
      <t xml:space="preserve">:  KH will prepare a Preliminary Water, Sanitary Sewer, and Storm Sewer Plan and present them to the project team at the meeting described above.
</t>
    </r>
  </si>
  <si>
    <r>
      <rPr>
        <u/>
        <sz val="9"/>
        <color theme="1"/>
        <rFont val="Arial"/>
        <family val="2"/>
        <scheme val="minor"/>
      </rPr>
      <t>Erosion Control Plan</t>
    </r>
    <r>
      <rPr>
        <sz val="9"/>
        <color theme="1"/>
        <rFont val="Arial"/>
        <family val="2"/>
        <scheme val="minor"/>
      </rPr>
      <t>:  Showing initial erosion control measures to be installed prior to disturbance of the site. The erosion control measures will be maintained and modified throughout site construction by the Contractor, and it is the Contractor’s responsibility to modify the plan during construction as necessary to comply with the conditions of their permits.  This task does not yield a SWPPP document.</t>
    </r>
  </si>
  <si>
    <t xml:space="preserve">KH will provide assistance to the Client in support of the Client’s pursuit of their Community Facilities Agreement or Three-Way Contract. KH will serve in a support role and will not lead this effort.  The Agreement/Contract document will be prepared and submitted by others.  KH will participate in strategy calls and meetings and will review the Agreement/Contract prior to submission.  Because the extent of the effort required is unknown we have provided a projected budget for this service but actual cost will depend on actual effort required.  </t>
  </si>
  <si>
    <t xml:space="preserve">We may, sometime, change this sentence to provide a link to our standard provisions on our website.  For now, they are attached.  </t>
  </si>
  <si>
    <t>Agreed to by:</t>
  </si>
  <si>
    <t>Note about site-specific Civil services and Survey services (e.g. TIA, Enhanced Landscape, Surveys)</t>
  </si>
  <si>
    <t>Matt Lucas</t>
  </si>
  <si>
    <t>Ran Spell check through all tabs
Added note in setup about site specific tasks and checking with approprirate people.
Made the Preliminary Plat non-taxable</t>
  </si>
  <si>
    <t>Limited Project Management</t>
  </si>
  <si>
    <t xml:space="preserve">Other expenses, estimated </t>
  </si>
  <si>
    <t>Task numbers do not change when tasks are hidden and unhidden - there is no need for them to be sequential.</t>
  </si>
  <si>
    <t>Printing Options</t>
  </si>
  <si>
    <t>Task Formatting Options</t>
  </si>
  <si>
    <t>To print (with options on whether to include rate schedules and standard provisions)</t>
  </si>
  <si>
    <t>Use capital C on Client, capital A on Architect, etc.</t>
  </si>
  <si>
    <t>“Setup” =  Enter  information that is referenced elsewhere in the spreadsheet.  The idea is that you only have to enter this information once.</t>
  </si>
  <si>
    <t xml:space="preserve">“Project Understanding” = Not the same as Scope.  Describe the ‘point’ of the project and insert an image of the site or site plan to help define the project limits.  </t>
  </si>
  <si>
    <t xml:space="preserve">Site Investigation Report (SIR) </t>
  </si>
  <si>
    <t xml:space="preserve">Effort resulting from changes to the building, site plan, or utility design after commencement of our work will be additional services.  </t>
  </si>
  <si>
    <t xml:space="preserve">Private utility information (gas, electric, cable, and telephone) will be shown on the plan for reference only if provided by the appropriate entities in a timely manner. Design of franchise utilities is beyond the scope of this agreement. </t>
  </si>
  <si>
    <t xml:space="preserve">Inspections and Certifications during construction, if required, will be performed by others and is beyond the scope of this agreement. </t>
  </si>
  <si>
    <t>For this project we assume:</t>
  </si>
  <si>
    <t>KH will perform research and prepare a summary of certain readily available public information related to the subject site:</t>
  </si>
  <si>
    <t xml:space="preserve">• Public water, wastewater, and storm drain lines on and immediately adjacent to the site including size and location, based on obtained record drawing information;
• On-Site civil/site engineering design and permitting process with the primary local jurisdiction;
• Site Plan, Platting, and Zoning Process and associated calendar;
• Impact and Pro-Rata Fee Schedule;
• Storm water detention requirements;
• Vicinity and size of certain franchise utilities (Gas, Electric, Telephone, Cable) based on information provided by the utility owners;
</t>
  </si>
  <si>
    <t>• Paving/street requirements;
• Site access; 
• Published zoning requirements (building setback, parking ratio, Floor Area Ratio, lot coverage, unit density); 
• Platting status and requirements;
• Onsite easements of record (If the Client provides a current Title Report (Schedule B) or ALTA);
• Mapped floodplain per published FEMA map or City map;</t>
  </si>
  <si>
    <t xml:space="preserve">KH will be provided with a Client-approved site plan prepared by the Architect in AutoCAD format.  KH will modify the site plan in an effort to make it dimensionally accurate, parallel and perpendicular, and suitable for use to prepare the site civil construction documents, easements, and plats.  KH will share the reconciled site plan with the Client and Architect.    
</t>
  </si>
  <si>
    <r>
      <rPr>
        <u/>
        <sz val="9"/>
        <color theme="1"/>
        <rFont val="Arial"/>
        <family val="2"/>
        <scheme val="minor"/>
      </rPr>
      <t>Construction Details</t>
    </r>
    <r>
      <rPr>
        <sz val="9"/>
        <color theme="1"/>
        <rFont val="Arial"/>
        <family val="2"/>
        <scheme val="minor"/>
      </rPr>
      <t xml:space="preserve">:  Typical construction details for proposed site civil engineering improvements will be included by reference to applicable jurisdictional standard details.  If deemed necessary by KH, construction details for certain site civil engineering improvements will be included in the plan set. </t>
    </r>
  </si>
  <si>
    <t>At the direction of the Client, KH will contract with Subconsultants to provide services.  This task is intended to compensate KH for the effort expended in administering the work of the subconsultants as described below.  KH is providing this effort solely for the administrative convenience of the Client.  KH will endeavor to coordinate the sub-consultants’ scope of work, schedules, and provide only a cursory review of their deliverables on behalf of the Client.  KH will review sub-consultant invoices and, when KH is paid the invoice amount plus a mark-up by the Client, KH will in turn pay the sub-consultants.  Ultimate responsibility for payment of the sub-consultants rests with the Client as the services are being provided for their benefit.  Client acknowledges that KH will not be reviewing the work product of Subconsultant in detail and will not be liable for it in any way.  If the Client has any future claim related to these services, Client will pursue Subconsultant directly and not KH.</t>
  </si>
  <si>
    <t xml:space="preserve"> KH will visit the site to observe construction of improvements designed by KH. Visits will be periodic and observations will not be exhaustive or extend to every aspect of Contractor's work in progress. KH shall not, during such visits or as a result of such observations supervise, direct, control, influence, or have responsibility over Contractor's work.  KH neither guarantees the performance of any Contractor nor assumes responsibility for any Contractor's failure to furnish and perform its work in accordance with the Contract Documents or permits.</t>
  </si>
  <si>
    <t xml:space="preserve">In the performance of any services during construction, KH shall not be responsible for the means, methods, acts, techniques, equipment choice and usage, sequences, schedules or for safety precautions or programs of any Contractor, Subcontractor, or any other individual or entity performing or furnishing work.  KH shall not have the authority or responsibility to stop or direct the work of any Contractor or authorize changes to the Contractor’s scope of work. KH will not be responsible for any inspections or certifications during or after completion of the project.  </t>
  </si>
  <si>
    <t>Client email address for invoicing purposes</t>
  </si>
  <si>
    <t>Do not write detailed Task Descriptions or fees for discipline specific tasks on your own.  For example, you MUST consult with your RPLS when preparing any Survey tasks, with your LA for Landscape, etc.  The fee ranges shown in the margin are just examples and must be updated for every project.</t>
  </si>
  <si>
    <t xml:space="preserve">Throughout the template areas that are highlighted in yellow indicate where information should be entered.  There are some exceptions where data needs to be entered but is not highlighted because we don't want the highlights to show in the printed document - in those cases prompts are shown in the margin, which does not print. </t>
  </si>
  <si>
    <t>Download a new version of the master each time you do a new contract.  Do not make ANY changes to the master document – save it down to your own server to make changes.  If you have suggestions for improved wording or tasks that need to be added or edited send them to James Hall in Dallas, that way everyone will get the benefit of improvements the next time they download the file.</t>
  </si>
  <si>
    <t>To hide or show rows with no fee in the Task Table</t>
  </si>
  <si>
    <t>To hide or show Task Descriptions with no fee in the Task Table.</t>
  </si>
  <si>
    <t>To add rows and columns to the Task Table in the event the client wants the proposal broken down by Architectural Design Phase (SD, DD, CD…).  Most of the time these rows and columns will be hidden.</t>
  </si>
  <si>
    <t>Don’t promise an outcome.</t>
  </si>
  <si>
    <t>Don't delete tasks.  If you simply make the fee zero it will be screened, or hidden when you run the appropriate macro.</t>
  </si>
  <si>
    <t xml:space="preserve">All fees for LA, Survey, traffic, and other non-standard Civil tasks must be provided by and/or checked by somone in that department.  For example, which Table A Items from the ALTA survey checklist are selected can have a large impact on the fee.  </t>
  </si>
  <si>
    <t>What we used to call "allocation"…</t>
  </si>
  <si>
    <t xml:space="preserve">These percentages can be changed to adjust the calculated retainer. </t>
  </si>
  <si>
    <t>It disappears if "No" is entered.</t>
  </si>
  <si>
    <t xml:space="preserve">Since Excel is not a word processing program you need to carefully check spelling and make sure cells are not getting cut off when you print.  The PRINT macros will show you a print preview first.  On the Excel toolbar, look under "REVIEW" for the "ABC Spelling" to run a spell check.  </t>
  </si>
  <si>
    <t>Added macro to perform spell check</t>
  </si>
  <si>
    <t>Date is automatic</t>
  </si>
  <si>
    <t>Any special relationships, e.g. - The client has hired Architect X as the design team lead and Lawyer Y as the entitlement lead.</t>
  </si>
  <si>
    <t>Other Exp. Markup %</t>
  </si>
  <si>
    <t>In-House Exp. %</t>
  </si>
  <si>
    <t>No.</t>
  </si>
  <si>
    <t>Principal</t>
  </si>
  <si>
    <t>PM</t>
  </si>
  <si>
    <t>Sr. Eng.</t>
  </si>
  <si>
    <t>Engr</t>
  </si>
  <si>
    <t>CADD Tech</t>
  </si>
  <si>
    <t>Secretary</t>
  </si>
  <si>
    <t>Acct</t>
  </si>
  <si>
    <t>Total</t>
  </si>
  <si>
    <t>Labor</t>
  </si>
  <si>
    <t>Direct</t>
  </si>
  <si>
    <t>Sheets</t>
  </si>
  <si>
    <t>Hrs</t>
  </si>
  <si>
    <t>Effort</t>
  </si>
  <si>
    <t>Subs</t>
  </si>
  <si>
    <t>Expenses</t>
  </si>
  <si>
    <t>Added Work Plan to TaskTable</t>
  </si>
  <si>
    <r>
      <rPr>
        <u/>
        <sz val="9"/>
        <color theme="1"/>
        <rFont val="Arial"/>
        <family val="2"/>
        <scheme val="minor"/>
      </rPr>
      <t>Grading Plan</t>
    </r>
    <r>
      <rPr>
        <sz val="9"/>
        <color theme="1"/>
        <rFont val="Arial"/>
        <family val="2"/>
        <scheme val="minor"/>
      </rPr>
      <t xml:space="preserve">: Showing proposed finished floor elevations and, as applicable, spot elevations and one-foot contours for public sidewalks, drives, and parking areas.  Detailed grading of landscape areas will be coordinated with, but designed by, the landscape architect.  Retaining walls needed to accomplish the grading will be shown with proposed top and toe elevations in a “wall zone”.  The selection of the wall system and the structural design of the walls is beyond the limited scope of this agreement and will be provided by KH or others under a separate agreement with the Client.  
</t>
    </r>
  </si>
  <si>
    <t>KH has no control over the cost of labor, materials, equipment, or over the Contractor's methods of determining prices or over competitive bidding or market conditions. Opinions of Probable Construction Costs (OPCC) are based on the information known to KH at the time and represent only KH’s judgment as a design professional. KH cannot and does not guarantee that proposals, bids, or actual construction costs will not vary from the OPCC.</t>
  </si>
  <si>
    <t>INVOICE</t>
  </si>
  <si>
    <t xml:space="preserve">Please send payments to:  </t>
  </si>
  <si>
    <t>Kimley-Horn and Associates, Inc.</t>
  </si>
  <si>
    <t>P.O. Box 951640</t>
  </si>
  <si>
    <t>Dallas, TX 75395-1640</t>
  </si>
  <si>
    <t>Federal Tax Id: 56-0885615</t>
  </si>
  <si>
    <t>If you would like to pay by ACH, our bank information is as follows:</t>
  </si>
  <si>
    <t>ABA#:  121000248</t>
  </si>
  <si>
    <t>Account Name:  Kimley-Horn and Associates, Inc.</t>
  </si>
  <si>
    <t>Please be sure to include the project name and invoice number in the addenda records.</t>
  </si>
  <si>
    <t>Account Number:  2073089159554</t>
  </si>
  <si>
    <t>Bank Name and Address:  Wells Fargo Bank, N.A., Sacramento, CA 94163</t>
  </si>
  <si>
    <t>Payment notifications may be sent by e-mail to Payments@Kimley-Horn.com.</t>
  </si>
  <si>
    <t>Added Retainer Invoice &amp; Updated Print macros</t>
  </si>
  <si>
    <t>Please reference the project name, invoice number, and project manager when making your payment.</t>
  </si>
  <si>
    <r>
      <t xml:space="preserve">The retainer language, calculation, </t>
    </r>
    <r>
      <rPr>
        <i/>
        <u/>
        <sz val="10"/>
        <color theme="4"/>
        <rFont val="Arial"/>
        <family val="2"/>
        <scheme val="minor"/>
      </rPr>
      <t>and an invoice</t>
    </r>
    <r>
      <rPr>
        <i/>
        <sz val="10"/>
        <color theme="4"/>
        <rFont val="Arial"/>
        <family val="2"/>
        <scheme val="minor"/>
      </rPr>
      <t xml:space="preserve"> shows up in the Authorization section if "Yes" is entered under "request retainer".  </t>
    </r>
  </si>
  <si>
    <t>We appreciate the opportunity to provide these services to you. This agreement must be signed within 60 days without being subject to our revision.</t>
  </si>
  <si>
    <r>
      <t>“Task Table” = Enter fees for the items that you want included in the agreement.  Since it is a spreadsheet items sum automatically along with expenses, etc.  Some guidelines are presented in red in the right mar</t>
    </r>
    <r>
      <rPr>
        <i/>
        <sz val="10"/>
        <color theme="1" tint="-0.249977111117893"/>
        <rFont val="Arial"/>
        <family val="2"/>
      </rPr>
      <t xml:space="preserve">gin.  You can use these guidelines to approximate fees but all fees need to be checked by the relevant discipline expert (eg, check survey fees with your RPLS,  LA fees with your LA, etc.).  Use the margin to do calculations to base fees on % of construction cost, sheet count, hour estimate, etc.  A rudimentary workplan has been provided for your use in the margin of this tab.  </t>
    </r>
  </si>
  <si>
    <r>
      <t xml:space="preserve">The master spreadsheet will be kept on KHANET at the following location:  </t>
    </r>
    <r>
      <rPr>
        <sz val="10"/>
        <color rgb="FF00B0F0"/>
        <rFont val="Arial"/>
        <family val="2"/>
      </rPr>
      <t>http://khanetsp/KHATraining/OPCTrainingResources/TexasOPC/Documents/Land%20Development%20Tools/eContractMaster.xlsm</t>
    </r>
  </si>
  <si>
    <t>Other tabs for Billing, Authorization, RetainerInvoice, RateSchedule, and StdProvisions are also provided and print or are hidden depending on selections made in the SETUP tab.</t>
  </si>
  <si>
    <t>To include language for a retainer, to calculate the amount of the retainer, and generate an invoice for that amount.</t>
  </si>
  <si>
    <t>Avoid adding redundant disclaimers or limitations (check first in the NOTES section)</t>
  </si>
  <si>
    <t>Don’t use open ended words like “as required” or “as necessary” or “any” or "including"</t>
  </si>
  <si>
    <t>If you enter a fee for a task the task automatically shows up in bold font as does it’s detailed description.  If you enter zero fee for a task the task automatically shows up in screened text as does it's detailed description.  There is a macro that will hide tasks and descriptions where zero fee is entered at your discretion.  If you want to hide a task category header simply enter a zero fee in the fee column, run the macro, and the header will be hidden just like a zero fee task would.</t>
  </si>
  <si>
    <t>Set % for in house expenses in the SETUP tab.</t>
  </si>
  <si>
    <t>Set % for taxes in SETUP tab.</t>
  </si>
  <si>
    <t>Margin shows examples of task costing.</t>
  </si>
  <si>
    <t>In the SETUP tab select the appropriate macro to show or hide the Phase column and this summary.</t>
  </si>
  <si>
    <t>Suggestion:  If your scope does not include HM tasks, remove reference to HM from the legend at the bottom of the Task Table and from the first paragraph of the BILLING section.</t>
  </si>
  <si>
    <r>
      <t xml:space="preserve">Enter the blended hourly rate you want used for calculating budgets on HM tasks.  Enter </t>
    </r>
    <r>
      <rPr>
        <i/>
        <u/>
        <sz val="10"/>
        <color theme="4"/>
        <rFont val="Arial"/>
        <family val="2"/>
        <scheme val="minor"/>
      </rPr>
      <t>HOURS</t>
    </r>
    <r>
      <rPr>
        <i/>
        <sz val="10"/>
        <color theme="4"/>
        <rFont val="Arial"/>
        <family val="2"/>
        <scheme val="minor"/>
      </rPr>
      <t xml:space="preserve"> in TASK TABLE.</t>
    </r>
  </si>
  <si>
    <t>All typical signing authority rules apply.</t>
  </si>
  <si>
    <t>Senior Professional I</t>
  </si>
  <si>
    <t>Senior Professional II</t>
  </si>
  <si>
    <t>Professional</t>
  </si>
  <si>
    <t>Technical Support</t>
  </si>
  <si>
    <t xml:space="preserve">BZ rate schedule is default and is shown to the left. If Municipal preferred, copy and paste from right. </t>
  </si>
  <si>
    <t xml:space="preserve">Municipal Rate Schedule shown below. </t>
  </si>
  <si>
    <t>Additional tasks may be necessary to complete the project based on City/Client requirements.  If necessary KH will provide the Client with a separate scope and fee for this effort.</t>
  </si>
  <si>
    <t>Check with RPLS whether the Retracement will be taxable.</t>
  </si>
  <si>
    <t>Hourly Rate</t>
  </si>
  <si>
    <t>Support Staff</t>
  </si>
  <si>
    <t>Senior Technical Support</t>
  </si>
  <si>
    <t xml:space="preserve">The Contractor will provide redlined set of the site civil drawings to KH showing all changes made to the approved design during construction. KH will review the redlined drawings provided and will prepare Record Drawings. The Record Drawings will show only those changes exported by the Contractor to KH and considered to be significant, and will contain a note to this effect.  Record Drawings are not “As Built” drawings and no independent verification will be done by KH. KH will submit the Record Drawings to the local jurisdiction and provide the files to the Client in PDF format.
</t>
  </si>
  <si>
    <t>13455 Noel Road, Two Galleria Office Tower, Suite 700, Dallas, TX 75240</t>
  </si>
  <si>
    <t>Updated Dallas office address and footer macro to change font to 9pt</t>
  </si>
  <si>
    <t>Electrical design (such as site lighting), structural design (such as retaining walls), and site signage design is beyond the scope of this Agreement.</t>
  </si>
  <si>
    <t xml:space="preserve">Limited Electric Provider Coordination </t>
  </si>
  <si>
    <t>See Note Below</t>
  </si>
  <si>
    <t>Important Note about Limited Electric Provider Coordination</t>
  </si>
  <si>
    <t>(a)  Designate in writing a person to act as its representative, such person having complete authority to transmit instructions, receive information, and make or interpret the Client's decisions.</t>
  </si>
  <si>
    <t>(b)  Provide all information and criteria as to the Client's requirements, objectives, and expectations for the project and all standards of development, design, or construction.</t>
  </si>
  <si>
    <t>(c)  Provide the Consultant all available studies, plans, or other documents pertaining to the project, such as surveys, engineering data, environmental information, etc., all of which the Consultant may rely upon.</t>
  </si>
  <si>
    <t>(d)  Arrange for access to the site and other property as required for the Consultant to provide its services.</t>
  </si>
  <si>
    <t>(e)  Review all documents or reports presented by the Consultant and communicate decisions pertaining thereto within a reasonable time so as not to delay the Consultant.</t>
  </si>
  <si>
    <t>(f)  Furnish approvals and permits from governmental authorities having jurisdiction over the project and approvals and consents from other parties as may be necessary.</t>
  </si>
  <si>
    <t>(g)  Obtain any independent accounting, legal, insurance, cost estimating and feasibility services required by Client.</t>
  </si>
  <si>
    <t>(h)  Give prompt written notice to the Consultant whenever the Client becomes aware of any development that affects the Consultant's services or any defect or noncompliance in any aspect of the project.</t>
  </si>
  <si>
    <t xml:space="preserve">(a)  Invoices will be submitted periodically for services performed and expenses incurred.  Payment of each invoice will be due within 25 days of receipt.  The Client shall also pay any applicable sales tax.  All retainers will be held by the Consultant and applied against the final invoice.  Interest will be added to accounts not paid within 25 days at the rate of 12% per year beginning on the 25th day.  If the Client fails to make any payment due under this or any other agreement within 30 days after the Consultant's transmittal of its invoice, the Consultant may, after giving notice to the Client, suspend services and withhold deliverables until all amounts due are paid. </t>
  </si>
  <si>
    <r>
      <t xml:space="preserve">(6)  </t>
    </r>
    <r>
      <rPr>
        <b/>
        <sz val="8"/>
        <color theme="1"/>
        <rFont val="Arial"/>
        <family val="2"/>
        <scheme val="minor"/>
      </rPr>
      <t>Opinions of Cost.</t>
    </r>
    <r>
      <rPr>
        <sz val="8"/>
        <color theme="1"/>
        <rFont val="Arial"/>
        <family val="2"/>
        <scheme val="minor"/>
      </rPr>
      <t xml:space="preserve">  Because the Consultant does not control the cost of labor, materials, equipment or services furnished by others, methods of determining prices, or competitive bidding or market conditions, any opinions rendered as to costs, including but not limited to the costs of construction and materials, are made solely based on its judgment as a professional familiar with the industry.  The Consultant cannot and does not guarantee that proposals, bids or actual costs will not vary from its opinions of cost.  If the Client wishes greater assurance as to the amount of any cost, it shall employ an independent cost estimator. Consultant's services required to bring costs within any limitation established by the Client will be paid for as Additional Services.</t>
    </r>
  </si>
  <si>
    <t>(a)  If the Consultant prepares construction documents and the Consultant is not retained to make periodic site visits, the Client assumes all responsibility for interpretation of the documents and for construction observation, and the Client waives any claims against the Consultant in any way connected thereto.</t>
  </si>
  <si>
    <t>(b)  The Consultant shall have no responsibility for any contractor's means, methods, techniques, equipment choice and usage, sequence, schedule, safety programs, or safety practices, nor shall Consultant have any authority or responsibility to stop or direct the work of any contractor. The Consultant's visits will be for the purpose of endeavoring to provide the Client a greater degree of confidence that the completed work of its contractors will generally conform to the construction documents prepared by the Consultant.  Consultant neither guarantees the performance of contractors, nor assumes responsibility for any contractor’s failure to perform its work in accordance with the contract documents.</t>
  </si>
  <si>
    <t>(c)  The Consultant is not responsible for any duties assigned to it in the construction contract that are not expressly provided for in this Agreement.  The Client agrees that each contract with any contractor shall state that the contractor shall be solely responsible for job site safety and its means and methods; that the contractor shall indemnify the Client and the Consultant for all claims and liability arising out of job site accidents; and that the Client and the Consultant shall be made additional insureds under the contractor’s general liability insurance policy.</t>
  </si>
  <si>
    <r>
      <t xml:space="preserve">(2)    </t>
    </r>
    <r>
      <rPr>
        <b/>
        <sz val="8"/>
        <color theme="1"/>
        <rFont val="Arial"/>
        <family val="2"/>
        <scheme val="minor"/>
      </rPr>
      <t xml:space="preserve">Client's Responsibilities. </t>
    </r>
    <r>
      <rPr>
        <sz val="8"/>
        <color theme="1"/>
        <rFont val="Arial"/>
        <family val="2"/>
        <scheme val="minor"/>
      </rPr>
      <t xml:space="preserve"> In addition to other responsibilities herein or imposed by law, the Client shall:</t>
    </r>
  </si>
  <si>
    <r>
      <t xml:space="preserve">(4)     </t>
    </r>
    <r>
      <rPr>
        <b/>
        <sz val="8"/>
        <color theme="1"/>
        <rFont val="Arial"/>
        <family val="2"/>
      </rPr>
      <t xml:space="preserve">Method of Payment.  </t>
    </r>
    <r>
      <rPr>
        <sz val="8"/>
        <color theme="1"/>
        <rFont val="Arial"/>
        <family val="2"/>
      </rPr>
      <t>Client shall be pay Consultant as follows:</t>
    </r>
  </si>
  <si>
    <r>
      <t xml:space="preserve">(5)     </t>
    </r>
    <r>
      <rPr>
        <b/>
        <sz val="8"/>
        <color theme="1"/>
        <rFont val="Arial"/>
        <family val="2"/>
        <scheme val="minor"/>
      </rPr>
      <t>Use of Documents.</t>
    </r>
    <r>
      <rPr>
        <sz val="8"/>
        <color theme="1"/>
        <rFont val="Arial"/>
        <family val="2"/>
        <scheme val="minor"/>
      </rPr>
      <t xml:space="preserve">  All documents and data prepared by the Consultant are related exclusively to the services described in this Agreement, and may be used only if the Client has satisfied all of its obligations under this Agreement.  They are not intended or represented to be suitable for use or reuse by the Client or others on extensions of this project or on any other project.  Any modifications by the Client to any of the Consultant’s documents, or any reuse of the documents without written authorization by the Consultant will be at the Client's sole risk and without liability to the Consultant, and the Client shall indemnify, defend and hold the Consultant harmless from all claims, damages, losses and expenses, including but not limited to attorneys' fees, resulting therefrom.  The Consultant’s electronic files and source code remain the property of the Consultant and shall be provided to the Client only if expressly provided for in this Agreement.  Any electronic files not containing an electronic seal are provided only for the convenience of the Client, and use of them is at the Client’s sole risk.  In the case of any defects in the electronic files or any discrepancies between them and the hardcopy of the documents prepared by the Consultant, the hardcopy shall govern.  </t>
    </r>
  </si>
  <si>
    <t xml:space="preserve">(e)  The Client agrees that the payment to the Consultant is not subject to any contingency or condition.  The Consultant may negotiate payment of any check tendered by the Client, even if the words “in full satisfaction” or words intended to have similar effect appear on the check without such negotiation being an accord and satisfaction of any disputed debt and without prejudicing any right of the Consultant to collect additional amounts from the Client.
</t>
  </si>
  <si>
    <r>
      <t xml:space="preserve">(3)    </t>
    </r>
    <r>
      <rPr>
        <b/>
        <sz val="8"/>
        <color theme="1"/>
        <rFont val="Arial"/>
        <family val="2"/>
        <scheme val="minor"/>
      </rPr>
      <t>Period of Services</t>
    </r>
    <r>
      <rPr>
        <sz val="8"/>
        <color theme="1"/>
        <rFont val="Arial"/>
        <family val="2"/>
        <scheme val="minor"/>
      </rPr>
      <t>.  Unless otherwise stated herein, the Consultant will begin work after receipt of a properly executed copy of this Agreement.  This Agreement assumes conditions permitting continuous and orderly progress through completion of the services.  Times for performance shall be extended as necessary for delays or suspensions due to circumstances that the Consultant does not control. If such delay or suspension extends for more than six months, Consultant’s compensation shall be renegotiated.</t>
    </r>
  </si>
  <si>
    <r>
      <t xml:space="preserve">(9)    </t>
    </r>
    <r>
      <rPr>
        <b/>
        <sz val="8"/>
        <color theme="1"/>
        <rFont val="Arial"/>
        <family val="2"/>
        <scheme val="minor"/>
      </rPr>
      <t>LIMITATION OF LIABILITY.</t>
    </r>
    <r>
      <rPr>
        <sz val="8"/>
        <color theme="1"/>
        <rFont val="Arial"/>
        <family val="2"/>
        <scheme val="minor"/>
      </rPr>
      <t xml:space="preserve">  IN RECOGNITION OF THE RELATIVE RISKS AND BENEFITS OF THE PROJECT TO THE CLIENT AND THE CONSULTANT, THE RISKS ARE ALLOCATED SUCH THAT, TO THE FULLEST EXTENT ALLOWED BY LAW, AND NOTWITHSTANDING ANY OTHER PROVISIONS OF THIS AGREEMENT OR THE EXISTENCE OF APPLICABLE INSURANCE COVERAGE, THAT THE TOTAL LIABILITY, IN THE AGGREGATE, OF THE CONSULTANT AND THE CONSULTANT'S OFFICERS, DIRECTORS, EMPLOYEES, AGENTS, AND SUBCONSULTANTS TO THE CLIENT OR TO ANYONE CLAIMING BY, THROUGH OR UNDER THE CLIENT, FOR ANY AND ALL CLAIMS, LOSSES, COSTS OR DAMAGES WHATSOEVER ARISING OUT OF OR IN ANY WAY RELATED TO THE SERVICES UNDER THIS AGREEMENT FROM ANY CAUSES, INCLUDING BUT NOT LIMITED TO, THE NEGLIGENCE, PROFESSIONAL ERRORS OR OMISSIONS, STRICT LIABILITY OR BREACH OF CONTRACT OR ANY WARRANTY, EXPRESS OR IMPLIED, OF THE CONSULTANT OR THE CONSULTANT'S OFFICERS, DIRECTORS, EMPLOYEES, AGENTS, AND SUBCONSULTANTS, SHALL NOT EXCEED TWICE THE TOTAL COMPENSATION RECEIVED BY THE CONSULTANT UNDER THIS AGREEMENT OR $50,000, WHICHEVER IS GREATER.  HIGHER LIMITS OF LIABILITY MAY BE NEGOTIATED FOR ADDITIONAL FEE.  THIS SECTION 9 IS INTENDED SOLELY TO LIMIT THE REMEDIES AVAILABLE TO THE CLIENT OR THOSE CLAIMING BY OR THROUGH THE CLIENT, AND NOTHING IN THIS SECTION 9 SHALL REQUIRE THE CLIENT TO INDEMNIFY THE CONSULTANT.
</t>
    </r>
  </si>
  <si>
    <r>
      <t xml:space="preserve">(10)   </t>
    </r>
    <r>
      <rPr>
        <b/>
        <sz val="8"/>
        <color theme="1"/>
        <rFont val="Arial"/>
        <family val="2"/>
        <scheme val="minor"/>
      </rPr>
      <t>Mutual Waiver of Consequential Damages.</t>
    </r>
    <r>
      <rPr>
        <sz val="8"/>
        <color theme="1"/>
        <rFont val="Arial"/>
        <family val="2"/>
        <scheme val="minor"/>
      </rPr>
      <t xml:space="preserve">  In no event shall either party be liable to the other for any consequential, incidental, punitive, or indirect damages including but not limited to loss of income or loss of profits.</t>
    </r>
  </si>
  <si>
    <r>
      <t xml:space="preserve">(11)   </t>
    </r>
    <r>
      <rPr>
        <b/>
        <sz val="8"/>
        <color theme="1"/>
        <rFont val="Arial"/>
        <family val="2"/>
        <scheme val="minor"/>
      </rPr>
      <t>Construction</t>
    </r>
    <r>
      <rPr>
        <sz val="8"/>
        <color theme="1"/>
        <rFont val="Arial"/>
        <family val="2"/>
        <scheme val="minor"/>
      </rPr>
      <t xml:space="preserve"> </t>
    </r>
    <r>
      <rPr>
        <b/>
        <sz val="8"/>
        <color theme="1"/>
        <rFont val="Arial"/>
        <family val="2"/>
        <scheme val="minor"/>
      </rPr>
      <t>Costs.</t>
    </r>
    <r>
      <rPr>
        <sz val="8"/>
        <color theme="1"/>
        <rFont val="Arial"/>
        <family val="2"/>
        <scheme val="minor"/>
      </rPr>
      <t xml:space="preserve">  Under no circumstances shall the Consultant be liable for extra costs or other consequences due to unknown conditions or related to the failure of contractors to perform work in accordance with the plans and specifications.  Consultant shall have no liability whatsoever for any costs arising out of the Client’s decision to obtain bids or proceed with construction before the Consultant has issued final, fully-approved plans and specifications.  The Client acknowledges that all preliminary plans are subject to substantial revision until plans are fully approved and all permits obtained. 
</t>
    </r>
  </si>
  <si>
    <r>
      <t xml:space="preserve">(15)   </t>
    </r>
    <r>
      <rPr>
        <b/>
        <sz val="8"/>
        <color theme="1"/>
        <rFont val="Arial"/>
        <family val="2"/>
        <scheme val="minor"/>
      </rPr>
      <t xml:space="preserve">Construction Phase Services.  </t>
    </r>
  </si>
  <si>
    <r>
      <t xml:space="preserve">(14)   </t>
    </r>
    <r>
      <rPr>
        <b/>
        <sz val="8"/>
        <color theme="1"/>
        <rFont val="Arial"/>
        <family val="2"/>
        <scheme val="minor"/>
      </rPr>
      <t>Hazardous Substances and Conditions.</t>
    </r>
    <r>
      <rPr>
        <sz val="8"/>
        <color theme="1"/>
        <rFont val="Arial"/>
        <family val="2"/>
        <scheme val="minor"/>
      </rPr>
      <t xml:space="preserve">   Consultant shall not be a custodian, transporter, handler, arranger, contractor, or remediator with respect to hazardous substances and conditions.  Consultant's services will be limited to analysis, recommendations, and reporting, including, when agreed to, plans and specifications for isolation, removal, or remediation.  The Consultant will notify the Client of unanticipated hazardous substances or conditions of which the Consultant actually becomes aware.  The Consultant may stop affected portions of its services until the hazardous substance or condition is eliminated.</t>
    </r>
  </si>
  <si>
    <r>
      <t xml:space="preserve">(8)  </t>
    </r>
    <r>
      <rPr>
        <b/>
        <sz val="8"/>
        <color theme="1"/>
        <rFont val="Arial"/>
        <family val="2"/>
        <scheme val="minor"/>
      </rPr>
      <t xml:space="preserve"> Standard of Care.</t>
    </r>
    <r>
      <rPr>
        <sz val="8"/>
        <color theme="1"/>
        <rFont val="Arial"/>
        <family val="2"/>
        <scheme val="minor"/>
      </rPr>
      <t xml:space="preserve">  The standard of care applicable to Consultant’s services will be the degree of care and skill ordinarily exercised by consultants performing the same or similar services in the same locality at the time the services are provided.  No warranty, express or implied, is made or intended by the Consultant's performance of services, and it is agreed that the Consultant is not a fiduciary with respect to the Client.  </t>
    </r>
  </si>
  <si>
    <r>
      <t xml:space="preserve"> (7)   </t>
    </r>
    <r>
      <rPr>
        <b/>
        <sz val="8"/>
        <color theme="1"/>
        <rFont val="Arial"/>
        <family val="2"/>
        <scheme val="minor"/>
      </rPr>
      <t>Termination.</t>
    </r>
    <r>
      <rPr>
        <sz val="8"/>
        <color theme="1"/>
        <rFont val="Arial"/>
        <family val="2"/>
        <scheme val="minor"/>
      </rPr>
      <t xml:space="preserve">  The obligation to provide further services under this Agreement may be terminated by either party upon seven days' written notice in the event of substantial failure by the other party to perform in accordance with the terms hereof, or upon thirty days’ written notice for the convenience of the terminating party.  The Consultant shall be paid for all services rendered and expenses incurred to the effective date of termination, and other reasonable expenses incurred by the Consultant as a result of such termination. </t>
    </r>
  </si>
  <si>
    <r>
      <t xml:space="preserve">(16) </t>
    </r>
    <r>
      <rPr>
        <b/>
        <sz val="8"/>
        <color theme="1"/>
        <rFont val="Arial"/>
        <family val="2"/>
        <scheme val="minor"/>
      </rPr>
      <t xml:space="preserve">  No Third-Party Beneficiaries; Assignment and Subcontracting.  </t>
    </r>
    <r>
      <rPr>
        <sz val="8"/>
        <color theme="1"/>
        <rFont val="Arial"/>
        <family val="2"/>
        <scheme val="minor"/>
      </rPr>
      <t>This Agreement gives no rights or benefits to anyone other than the Client and the Consultant, and all duties and responsibilities undertaken pursuant to this Agreement will be for the sole benefit of the Client and the Consultant.  The Client shall not assign or transfer any rights under or interest in this Agreement, or any claim arising out of the performance of services by Consultant, without the written consent of the Consultant.  The Consultant reserves the right to augment its staff with subconsultants as it deems appropriate due to project logistics, schedules, or market conditions.  If the Consultant exercises this right, the Consultant will maintain the agreed-upon billing rates for services identified in the contract, regardless of whether the services are provided by in-house employees, contract employees, or independent subconsultants.</t>
    </r>
  </si>
  <si>
    <r>
      <t xml:space="preserve">(17)   </t>
    </r>
    <r>
      <rPr>
        <b/>
        <sz val="8"/>
        <color theme="1"/>
        <rFont val="Arial"/>
        <family val="2"/>
        <scheme val="minor"/>
      </rPr>
      <t xml:space="preserve">Confidentiality. </t>
    </r>
    <r>
      <rPr>
        <sz val="8"/>
        <color theme="1"/>
        <rFont val="Arial"/>
        <family val="2"/>
        <scheme val="minor"/>
      </rPr>
      <t xml:space="preserve"> The Client consents to the use and dissemination by the Consultant of photographs of the project and to the use by the Consultant of facts, data and information obtained by the Consultant in the performance of its services.  If, however, any facts, data or information are specifically identified in writing by the Client as confidential, the Consultant shall use reasonable care to maintain the confidentiality of that material.</t>
    </r>
  </si>
  <si>
    <r>
      <t xml:space="preserve">(18)   </t>
    </r>
    <r>
      <rPr>
        <b/>
        <sz val="8"/>
        <color theme="1"/>
        <rFont val="Arial"/>
        <family val="2"/>
        <scheme val="minor"/>
      </rPr>
      <t>Miscellaneous Provisions.</t>
    </r>
    <r>
      <rPr>
        <sz val="8"/>
        <color theme="1"/>
        <rFont val="Arial"/>
        <family val="2"/>
        <scheme val="minor"/>
      </rPr>
      <t xml:space="preserve">  This Agreement is to be governed by the law of the State of Texas. This Agreement contains the entire and fully integrated agreement between the parties and supersedes all prior and contemporaneous negotiations, representations, agreements or understandings, whether written or oral.  Except as provided in Section 1, this Agreement can be supplemented or amended only by a written document executed by both parties.  Any conflicting or additional terms on any purchase order issued by the Client shall be void and are hereby expressly rejected by the Consultant.  Any provision in this Agreement that is unenforceable shall be ineffective to the extent of such unenforceability without invalidating the remaining provisions. The non-enforcement of any provision by either party shall not constitute a waiver of that provision nor shall it affect the enforceability of that provision or of the remainder of this Agreement.</t>
    </r>
  </si>
  <si>
    <t>Updated Standard provisions</t>
  </si>
  <si>
    <r>
      <t xml:space="preserve">(1)     </t>
    </r>
    <r>
      <rPr>
        <b/>
        <sz val="8"/>
        <color theme="1"/>
        <rFont val="Arial"/>
        <family val="2"/>
        <scheme val="minor"/>
      </rPr>
      <t>Consultant's Scope of Services and Additional Services.</t>
    </r>
    <r>
      <rPr>
        <sz val="8"/>
        <color theme="1"/>
        <rFont val="Arial"/>
        <family val="2"/>
        <scheme val="minor"/>
      </rPr>
      <t xml:space="preserve">  The Consultant will perform only the services specifically described in this Agreement.  If requested by the Client and agreed to by the Consultant, the Consultant will perform Additional Services, which shall be governed by these provisions.  Unless otherwise agreed to in writing, the Client shall pay the Consultant</t>
    </r>
  </si>
  <si>
    <r>
      <t xml:space="preserve">(13)   </t>
    </r>
    <r>
      <rPr>
        <b/>
        <sz val="8"/>
        <color theme="1"/>
        <rFont val="Arial"/>
        <family val="2"/>
        <scheme val="minor"/>
      </rPr>
      <t>Dispute Resolution.</t>
    </r>
    <r>
      <rPr>
        <sz val="8"/>
        <color theme="1"/>
        <rFont val="Arial"/>
        <family val="2"/>
        <scheme val="minor"/>
      </rPr>
      <t xml:space="preserve">  All claims by the Client arising out of this Agreement or its breach shall be submitted first to mediation in accordance with the American Arbitration Association as a condition precedent to litigation.  Any mediation or civil action by Client must be commenced within two years of the accrual of the cause of action asserted but in no event later than allowed by applicable statutes.</t>
    </r>
  </si>
  <si>
    <t>Our plans show a drainage system to within five feet of the building.  The Client is responsible for directing the Mechanical, Electrical, and Plumbing Engineer to connect all building downspouts and drainage systems to the underground drainage system.  The Client is responsible for directing the Landscape Architect that all tree wells and planters located near the building are to be drained and the drains connected to the underground drainage system.  Doing so will reduce the likelihood of water being introduced into the subgrade.</t>
  </si>
  <si>
    <t xml:space="preserve">KH shall be permitted to make such corrections or interpretations as may be necessary for the fulfillment of the intent of the Contract Documents. The Client shall not allow the contractor to take advantage of any apparent errors, omissions or discrepancies in the drawings or specifications. In case of any errors, omissions or discrepancies in the drawings or specifications, the Client shall direct the contractor to promptly submit the matter to the Client before the improvements are built.  The Client shall promptly make a determination and issue the necessary instructions to the contractor in writing. Any adjustment by the contractor without this determination and instructions shall be at the contractor’s own risk and expense. The Work is to be made complete as intended by the Contract Documents. </t>
  </si>
  <si>
    <t>Any standard details or specifications provided or referenced on KH plans are for the convenience of the Client only.  The Client understands that jurisdictions often mandate use of their standard and that these standards have not been modified or designed by KH.  The Client has declined to have these standards updated or made specific to this project and will not hold KH responsible for errors or omissions in these standards should an issue arise from their use.</t>
  </si>
  <si>
    <t>All survey fees should come from an RPLS.</t>
  </si>
  <si>
    <t>Suggestion:  If your scope does not include In-house expenses, then hide the row with  In-House Expenses HERE and from the BILLING section.</t>
  </si>
  <si>
    <t>Enter an estimated amount for Other Expenses, if applicable</t>
  </si>
  <si>
    <t>You will need to input the rates based on your staff mix and goal multiplier.</t>
  </si>
  <si>
    <t xml:space="preserve">KH will lead the Design Team to coordinate with the client-selected Electric Provider in an effort to obtain designs and associated service agreement from them.  This task is above and beyond the typical limited franchise utility coordination we are currently providing on the project. 
KH will appoint one employee as the “Electric Service Coordinator.” If the person changes, KH will notify the Client. The Electric Service Coordinator will be the main point of contact between the electric provider and the design team. KH will set up a pre-design meeting and a pre-construction meeting during the design process with the electric provider, attend (or conference into) applicable design team meetings, and assemble the submittal packages for submittal to the electric provider. The submittal packages may be delivered by KH or by the Client, and will include a short meeting to review the submittal package with the electric provider, if the provider will accommodate. KH will conclude effort on this task once a service agreement is obtained and the pre-construction meeting occurs. It will then be the Contractor’s responsibility to coordinate franchise installation from then on.  If additional coordination is requested it can be provided on an hourly basis.  
The Client will provide the following information, or cause the information to be provided, at the times noted below:
• All information for initial submittal to the electric provider no later than a date mutually agreed to by KH and the Design team, like load sheets, riser diagrams, transformer locations, house panel loads, A/C tonnage, etc. KH will compile the applicable information provided into a site exhibit as part of this task. All information will be provided to KH in the provider’s format.
• Prior to the pre-design meeting, information related to the Client's temporary power needs, and then provide the information to KH in the electric provider’s format prior to the initial submittal to the electric provider. 
• Feedback or acceptance from the Client and applicable design team members will be provided in writing to KH a maximum of 2 weeks after receiving the draft design from the electric provider. 
• Any additional information requested by the electric provider during the process. </t>
  </si>
  <si>
    <t xml:space="preserve">Since this task is dependent on information from others, we expect it will be provided to us in a timely manner, and the Client will direct the Design Team (at minimum, Architect, MEP, and Landscape Architect) to accommodate our requests accordingly.  KH is providing limited project management of this task, and not design, and KH shall be entitled to rely on the completeness and accuracy of all information provided to us. This task explicitly excludes any design, or review / checking of load sheet calculations and other design related information provided to KH. 
The Client understands KH will endeavor to secure designs and service agreements in a timely manner however we cannot guarantee this will be accomplished.  The projected budget provided above assumes up to limited number of hours of KH effort for this task.  If information/reviews are not provided as expected, or if the layout changes, rework will be needed. This budget assumes no, or little, rework. If additional effort is required, it will be billed on an hourly basis. 
</t>
  </si>
  <si>
    <t xml:space="preserve">In-house expenses include telecommunications, certain in-house reproduction, postage, </t>
  </si>
  <si>
    <t>supplies, and local mileage.</t>
  </si>
  <si>
    <t>A table summarizing our proposed scope of services, by task, is provided below.  The table includes projected fees, fee type, and in-house expenses.  Only tasks with accompanying fees are included in our proposed scope of services, though we are available to provide other tasks upon request.  The tasks are organized in the order they are typically performed.  Detailed descriptions of each task are provided later in this agreement, as are the notes and assumptions upon which our scope and fee are based.</t>
  </si>
  <si>
    <t>Subject to annual adjustment thereafter</t>
  </si>
  <si>
    <t xml:space="preserve">The improvements we design will be privately bid (no quantities and bid numbers as is often required for publicly bid plans is included) and will be designed and built in a single phase.   </t>
  </si>
  <si>
    <t>Vice President</t>
  </si>
  <si>
    <t>Contract Type</t>
  </si>
  <si>
    <t>Original Contract</t>
  </si>
  <si>
    <t>Date of this Contract</t>
  </si>
  <si>
    <t>Date of Original Contract</t>
  </si>
  <si>
    <t>Only needed for Addendums</t>
  </si>
  <si>
    <t>Parking Analysis</t>
  </si>
  <si>
    <t>Check with Traffic for Fee</t>
  </si>
  <si>
    <t>Fire Flow Hydrant Test</t>
  </si>
  <si>
    <t>Check with Utilities for Fee</t>
  </si>
  <si>
    <t>CLOMR</t>
  </si>
  <si>
    <t>LOMR</t>
  </si>
  <si>
    <t>Elevation Certificate based on Construction Documents</t>
  </si>
  <si>
    <t>Elevation Certificate based on Final Construction</t>
  </si>
  <si>
    <t>Photometric Analysis</t>
  </si>
  <si>
    <t>Check with Survey for Fee</t>
  </si>
  <si>
    <t>Check with H&amp;H for Fee and Description</t>
  </si>
  <si>
    <t>Verify # of Structures</t>
  </si>
  <si>
    <t>Verify # of Structures, Check with Survey for Fee</t>
  </si>
  <si>
    <t>Check with Electrical for Fee</t>
  </si>
  <si>
    <t>Total LS</t>
  </si>
  <si>
    <t>Total H</t>
  </si>
  <si>
    <t>Total HM</t>
  </si>
  <si>
    <t>Fee Type:</t>
  </si>
  <si>
    <t>On setup tab, added contract type (orginal or addendum), added original contract date.
Updated intro paragrah in project understanding to account for addendums.
Added dynamic year based on letter date to copyright on Task Table page.
Updated Matt Lucas to Vice President:
Added muliple tasks in "500 section"
Added formulas to hide HM fee type explanation at bottom of task table and in billing when it has no tasks with fee.</t>
  </si>
  <si>
    <t>Domestic Water Meter Sizing</t>
  </si>
  <si>
    <t xml:space="preserve">(INTERNAL REMINDER – CHECK WITH TRAFFIC TO VERIFY SCOPE AND FEE RANGE)
KH will perform a parking analysis for the Project to provide a recommended parking ratio for the Project. The scope for the parking study will consist of observations of parking demand on up to three comparable developments, an analysis of our observations, and a comparison to City parking code requirements. The Client will provide direction on comparable locations to include in the analysis. For each site, one overnight weekday and one overnight Saturday parking count will be collected. The deliverable of this task is a memorandum summarizing the results of the analysis. 
</t>
  </si>
  <si>
    <t>The following services are excluded:
• Photometric analysis of street lighting exterior to project 
• Lighting fixture selection
• Building Façade lighting unless provided by the Client in a timely manner
• 3D renderings.
• Footing/foundation design for the light fixtures
• Electrical or conduit design
• Revisions to plans due to changes in landscape plan or site layout.</t>
  </si>
  <si>
    <t xml:space="preserve">(INTERNAL REMINDER – CHECK WITH UTILITIES TO VERIFY SCOPE AND FEE RANGE)
KH will size one domestic water meter to serve the Project site. Water demand will be based on one or more of these elements:  demand or fixture information provided by the MEP, acreage information provided to the engineer, building square footage information provided to the engineer, occupancy information provided to the engineer. Water meter size will be in general accordance with the published municipal design standards. </t>
  </si>
  <si>
    <t xml:space="preserve">(INTERNAL REMINDER – CHECK WITH UTILITIES TO VERIFY SCOPE AND FEE RANGE)
KH will coordinate a fire flow test to measure the hydrant flow at the Project site. KH will communicate with the public utility to schedule the test. If the public utility does not self-perform the tests, KH will locate the fire hydrant(s) to be tested and may perform the test with our own forces, or through a sub-consultant. Fire flow test data will consist of recording static pressure, velocity pressure and residual pressure readings. The results for each test will be compiled into a final test report and submitted to the Client and public utility. This task only includes one field test.
</t>
  </si>
  <si>
    <t>(INETRNAL REMINDER – CHECK WITH H&amp;H TO VERIFY SCOPE AND FEE RANGE)</t>
  </si>
  <si>
    <t xml:space="preserve">(INTERNAL REMINDER – CHECK WITH SURVEY TO VERIFY SCOPE AND FEE RANGE)
Following the placement of fill to reclaim portions of the property from the floodplain, KH will prepare an topographic survey of the constructed improvements. 
The survey data is to be used in-house and will not be issued as a stand-alone survey document. The survey will be conducted to include the specifications set forth by National Mapping Standards and FEMA mapping standards. Elevations obtained on hard surfaces, i.e. paving, etc. will be expressed to the nearest 0.01 feet and on natural ground surfaces to the nearest 0.10 feet. Survey will be tied to a City benchmark system. By authorizing this task the Client gives permission to access the properties necessary to conduct the survey.  </t>
  </si>
  <si>
    <t xml:space="preserve">(INETRNAL REMINDER – CHECK WITH H&amp;H TO VERIFY SCOPE AND FEE RANGE)
KH will prepare an Elevation Certificate for up to ___ structures (Building, Garage, etc..) located on the Subject Site as selected by the Client. The certificate will be prepared utilizing the FEMA National Flood Insurance Program Elevation Certificate Form. The information included in the certificate will be based on sealed construction plans prepared for the Subject Site, as provided by the Client. The Client is responsible for providing a list of internal features to KH such as elevator pits, internal grade breaks, building floor heights or other similar items internal to the building that have bearing on our scope of work. KH will submit an electronic copy of the form to the Client. This task does not include submittal to FEMA.
</t>
  </si>
  <si>
    <t xml:space="preserve">(INETRNAL REMINDER – CHECK WITH H&amp;H AND SURVEY TO VERIFY SCOPE AND FEE RANGE)
KH will prepare an Elevation Certificate for up to ___ structures (Building, Garage, etc..) located on the Subject Site as selected by the Client. The certificate will be prepared utilizing the FEMA National Flood Insurance Program Elevation Certificate Form. The information included in the certificate will be based on sealed construction plans prepared for the Subject Site, as provided by the Client. The Client is responsible for providing a list of internal features to KH such as elevator pits, internal grade breaks, building floor heights or other similar items internal to the building that have bearing on our scope of work. KH will submit an electronic copy of the form to the Client. This task does not include submittal to FEMA.
</t>
  </si>
  <si>
    <t>KH will prepare a limited topographic survey of surface-visible structures and surface features selected by KH for the use in completing the Elevation Certificates. The survey data is to be used in-house and will not be issued as a stand-alone survey document. The survey will consist of:</t>
  </si>
  <si>
    <t>•	Top of bottom floor (including basement, crawlspace, or enclosure floor as revealed to KH by Client);
•	Top of the next higher floor;
•	Attached garage (top of slab);
•	Lowest observed elevation of machinery or equipment servicing the building (furnaces, hot water heaters, heat pumps, air conditioners, elevators, etc.);
•	Lowest observed adjacent (finished) grade next to building; and
•	Highest observed adjacent (finished) grade next to building. 
•	Photos of the front, rear, and sides of structures.
•	Photos of accessary machinery or equipment servicing the building (transformers/switchgear)</t>
  </si>
  <si>
    <t>HM</t>
  </si>
  <si>
    <t>KH will perform a wastewater capacity analysis of the existing public sewer system that will serve the project. The analysis will use existing land uses as shown on a Land Use Map available from the jurisdictional agency, record drawings of the existing system, current and historical flow data and overflow history provided by the utility owner, and the utility owner’s wastewater hydraulic model. The anticipated loading projections of the project will be provided by the project MEP engineer. KH will coordinate with the utility owner to acquire current flow data.  The results of the analysis will be presented in a technical memorandum. KH will submit the analysis to the client for review and address one round of comments prior to submission to the reviewing agency.</t>
  </si>
  <si>
    <t xml:space="preserve">KH will perform a water capacity analysis of the existing public water system that will serve the project. The analysis will use existing land uses as shown on a Land Use Map available from the jurisdictional agency, pressure and flow data from fire hydrant flow tests provided by the utility owner, record drawings of the existing water system and demand history provided by the utility owner, and the utility owner’s water hydraulic model. The anticipated water demand projections of the project will be provided by the project MEP engineer . KH will request fire hydrant flow tests from the utility owner in an effort to acquire flow/pressure data from fire hydrant flow tests.  The results of the analysis will be presented in a technical memorandum. KH will submit the analysis to the Client for review and address one round of comments prior to submission to the reviewing agency. </t>
  </si>
  <si>
    <r>
      <t xml:space="preserve">KH will prepare plans for the anticipated offsite water improvements for the project, consisting of the following:
</t>
    </r>
    <r>
      <rPr>
        <u/>
        <sz val="9"/>
        <color theme="1"/>
        <rFont val="Arial"/>
        <family val="2"/>
        <scheme val="minor"/>
      </rPr>
      <t>General Notes and Project Specifications</t>
    </r>
    <r>
      <rPr>
        <sz val="9"/>
        <color theme="1"/>
        <rFont val="Arial"/>
        <family val="2"/>
        <scheme val="minor"/>
      </rPr>
      <t xml:space="preserve">:  Showing general notes related to proposed construction based on jurisdictional standards.
</t>
    </r>
    <r>
      <rPr>
        <u/>
        <sz val="9"/>
        <color theme="1"/>
        <rFont val="Arial"/>
        <family val="2"/>
        <scheme val="minor"/>
      </rPr>
      <t>Water Plan</t>
    </r>
    <r>
      <rPr>
        <sz val="9"/>
        <color theme="1"/>
        <rFont val="Arial"/>
        <family val="2"/>
        <scheme val="minor"/>
      </rPr>
      <t xml:space="preserve">:  Showing water line size, fixtures, horizontal layout with dimensional ties to existing surveyed improvements, easements, and boundaries.  
</t>
    </r>
    <r>
      <rPr>
        <u/>
        <sz val="9"/>
        <color theme="1"/>
        <rFont val="Arial"/>
        <family val="2"/>
        <scheme val="minor"/>
      </rPr>
      <t>Water Profile</t>
    </r>
    <r>
      <rPr>
        <sz val="9"/>
        <color theme="1"/>
        <rFont val="Arial"/>
        <family val="2"/>
        <scheme val="minor"/>
      </rPr>
      <t xml:space="preserve">:  Showing water line vertical alignment for lines 12 inches in diameter and larger.
</t>
    </r>
    <r>
      <rPr>
        <u/>
        <sz val="9"/>
        <color theme="1"/>
        <rFont val="Arial"/>
        <family val="2"/>
        <scheme val="minor"/>
      </rPr>
      <t>Construction Details</t>
    </r>
    <r>
      <rPr>
        <sz val="9"/>
        <color theme="1"/>
        <rFont val="Arial"/>
        <family val="2"/>
        <scheme val="minor"/>
      </rPr>
      <t xml:space="preserve">:  Showing details for the water improvements by reference to applicable jurisdictional standard details.  
The size of the water line will be determined by the local jurisdiction. There is a potential for additional plans depending on project specifics. Since this  work varies greatly in scope and cost, this task will be customized after discussion of needs with the Client. These plans will be part of the on-site civil plan set and not a separate plan set.  These plans will be submitted for review with the on-site civil plans.  </t>
    </r>
  </si>
  <si>
    <r>
      <t xml:space="preserve">KH will prepare plans for the anticipated offsite wastewater improvements for the project, consisting of the following:
</t>
    </r>
    <r>
      <rPr>
        <u/>
        <sz val="9"/>
        <color theme="1"/>
        <rFont val="Arial"/>
        <family val="2"/>
        <scheme val="minor"/>
      </rPr>
      <t>General Notes and Project Specifications</t>
    </r>
    <r>
      <rPr>
        <sz val="9"/>
        <color theme="1"/>
        <rFont val="Arial"/>
        <family val="2"/>
        <scheme val="minor"/>
      </rPr>
      <t xml:space="preserve">:  Showing general notes related to proposed construction based on jurisdictional standards.
</t>
    </r>
    <r>
      <rPr>
        <u/>
        <sz val="9"/>
        <color theme="1"/>
        <rFont val="Arial"/>
        <family val="2"/>
        <scheme val="minor"/>
      </rPr>
      <t>Wastewater Plan</t>
    </r>
    <r>
      <rPr>
        <sz val="9"/>
        <color theme="1"/>
        <rFont val="Arial"/>
        <family val="2"/>
        <scheme val="minor"/>
      </rPr>
      <t xml:space="preserve">:  Showing wastewater line size, fixtures, horizontal layout with dimensional ties to existing surveyed improvements, easements, and boundaries.  
</t>
    </r>
    <r>
      <rPr>
        <u/>
        <sz val="9"/>
        <color theme="1"/>
        <rFont val="Arial"/>
        <family val="2"/>
        <scheme val="minor"/>
      </rPr>
      <t>Wastewater Profile</t>
    </r>
    <r>
      <rPr>
        <sz val="9"/>
        <color theme="1"/>
        <rFont val="Arial"/>
        <family val="2"/>
        <scheme val="minor"/>
      </rPr>
      <t xml:space="preserve">:  Showing wastewater line vertical alignment for lines 12 inches in diameter and larger.
</t>
    </r>
    <r>
      <rPr>
        <u/>
        <sz val="9"/>
        <color theme="1"/>
        <rFont val="Arial"/>
        <family val="2"/>
        <scheme val="minor"/>
      </rPr>
      <t>Construction Details</t>
    </r>
    <r>
      <rPr>
        <sz val="9"/>
        <color theme="1"/>
        <rFont val="Arial"/>
        <family val="2"/>
        <scheme val="minor"/>
      </rPr>
      <t xml:space="preserve">:  Showing details for the wastewater improvements by reference to applicable jurisdictional standard details.  
The size of the wastewater line will be determined by the local jurisdiction. There is a potential for additional plans depending on project specifics. Since this  work varies greatly in scope and cost, this task will be customized after discussion of needs with the Client. These plans will be part of the on-site civil plan set and not a separate plan set.  These plans will be submitted for review with the on-site civil plans.  </t>
    </r>
  </si>
  <si>
    <t xml:space="preserve">KH will perform a drainage analysis to review the existing drainage system on-site and downstream to the Zone of Influence of the site as defined by KH. KH will review record plans for the existing storm drain system adjacent and downstream of the site in an effort to understand existing drainage infrastructure capacity.  KH will calculate the available capacity and allowable discharge from the proposed project in the City design storm events. The runoff for the proposed project will be analyzed and compared to the allowable discharge. KH will provide an opinion of whether detention will be required. If detention is required, KH will calculate the volume and allowable discharge rate.  The results of the analysis will be presented in a memo or on the civil construction plans. </t>
  </si>
  <si>
    <t>KH will request and review existing modeling and reports for the adjacent creek from FEMA and the local jurisdiction.  KH will update and add cross sections in the provided hydraulic models as deemed appropriate by KH using the topographic survey for the site, if available.  KH will prepare a proposed condition hydraulic model based on the proposed site grading to understand the impacts on 100-year water surface elevations in the creek.  If the proposed site grading causes rises in 100-year water surface elevations, KH will endeavor to revise the proposed grading until it produces no rise in 100-year water surface elevations.  This may require revisions to the proposed site plan, and no rises to the 100-year water surface elevations may not be achievable.  KH will prepare a report with floodplain maps and model output and submit it to the local jurisdiction for their consideration for approval.  Frequently the local jurisdiction will require additional effort not described in this task.  Examples include:  creation of new hydrologic or hydraulic models, revisions to hydrologic models, recreation of existing hydrologic or hydraulic models from paper copies, topographic survey outside of the property limits, studies of impacts to floodplain elevations in multiple development conditions, submittals to FEMA, an extended analysis of the creek, and compliance with local floodplain fill permit requirements.  In the event the local jurisdiction requires additional effort KH will provide an addendum to this scope for the additional work required.  Since this work varies greatly in scope and cost, this task will be customized after discussion of needs with the Client.</t>
  </si>
  <si>
    <t xml:space="preserve">KH will provide assistance to the Client to arrange franchise utility service (gas, electric, cable/data, and telephone) for the project. Design of franchise utilities will be by the franchise utility companies. KH will coordinate locating these utilities on the site utility plan as they relate to the storm drain, water, and wastewater layouts. If provided in  a timely manner and in AutoCAD format by the franchise utility companies, the franchise utility layouts will be shown on the civil plans.  </t>
  </si>
  <si>
    <t>(INTERNAL REMINDER – CHECK WITH ELECTRICAL TO VERIFY SCOPE AND FEE RANGE)
KH will provide a photometric analysis for the Subject Site.   The photometric analysis will consist of modeling site lighting fixtures in an effort to meet the intent of the published City parking lot and drive aisle illumination level requirements. We will use vendor supplied lighting characteristics for the fixtures selected.  If the City does not define on-site lighting standards KH will utilize Illuminating Engineering Society (IES) guidelines. KH assumes the Client/Architect will provide the types and desired locations of site lights to be used in the photometric model. The deliverable of this task is a photometric plan with cut sheets for the fixtures.</t>
  </si>
  <si>
    <t>KH will provide a qualitative assessment to evaluate the presence of U.S. Army Corps of Engineers’ (USACE) criteria for jurisdictional open waters (including streams) and wetlands that are likely to be subject to Corps and the Environmental Protection Agency (EPA) Section 404/401 permit requirements on the property.  KH will review readily available aerial photography and published data for the property, and visit the site once to perform field reconnaissance of the study area in an effort to determine the approximate extent of potentially jurisdictional wetlands and other waters of the U.S. This scope does not include flagging or surveying jurisdictional areas. KH will prepare a memorandum describing our findings and a summary of possible permitting and mitigation strategies.</t>
  </si>
  <si>
    <t xml:space="preserve">KH will perform an on-site tree inventory, which will show the approximate locations, species name, general health assessment, and provide numbered tags for each of the protected trees. Data will be collected by a handheld GPS unit and will therefore be mapping grade, not survey grade.    We will endeavor to locate all trees meeting the requirements of the local tree protection ordinance but do not guarantee it; some trees may be missed in areas of heavy tree coverage or limited access.   </t>
  </si>
  <si>
    <t xml:space="preserve">KH will attend one meeting with the Client and design team to discuss their vision for the project. Based on the direction from this meeting, KH will develop up to two Schematic Plans for the project and present them to the Client. The plans will illustrate the general scope, scale, theme, and relationship of various design components. “Enhanced” means beyond what is required by code.  The Schematic Plan will illustrate proposed:
• Streetscape improvements along perimeter streets;)
• Enhanced hardscape (vehicular pavement treatment, internal sidewalks, and courtyards); 
• Perimeter screening walls and fences; 
• Enhanced landscape plantings;  
• Site Furnishings (benches, bike racks, trash cans).
KH will attend one meeting with the Client to review the plans.  Based on input received during this meeting, KH will prepare one Final Schematic Design Plan of the selected alternative that will become the basis of further design efforts. </t>
  </si>
  <si>
    <r>
      <t xml:space="preserve">Based on the Design Development plans, KH will prepare Landscape and Hardscape Construction Documents consisting of: 
</t>
    </r>
    <r>
      <rPr>
        <u/>
        <sz val="9"/>
        <color theme="1"/>
        <rFont val="Arial"/>
        <family val="2"/>
        <scheme val="minor"/>
      </rPr>
      <t>Cover Sheet</t>
    </r>
    <r>
      <rPr>
        <sz val="9"/>
        <color theme="1"/>
        <rFont val="Arial"/>
        <family val="2"/>
        <scheme val="minor"/>
      </rPr>
      <t xml:space="preserve">: Showing sheet index, project location map, contact information, and plan submittal and review log.
</t>
    </r>
    <r>
      <rPr>
        <u/>
        <sz val="9"/>
        <color theme="1"/>
        <rFont val="Arial"/>
        <family val="2"/>
        <scheme val="minor"/>
      </rPr>
      <t>General Notes, Project Specifications, and Materials Legend</t>
    </r>
    <r>
      <rPr>
        <sz val="9"/>
        <color theme="1"/>
        <rFont val="Arial"/>
        <family val="2"/>
        <scheme val="minor"/>
      </rPr>
      <t xml:space="preserve">: Showing general notes related to proposed construction based on jurisdictional standards.
</t>
    </r>
    <r>
      <rPr>
        <u/>
        <sz val="9"/>
        <color theme="1"/>
        <rFont val="Arial"/>
        <family val="2"/>
        <scheme val="minor"/>
      </rPr>
      <t>Hardscape Plans and Layout Plans</t>
    </r>
    <r>
      <rPr>
        <sz val="9"/>
        <color theme="1"/>
        <rFont val="Arial"/>
        <family val="2"/>
        <scheme val="minor"/>
      </rPr>
      <t xml:space="preserve">: Showing site hardscape materials and specifications, as well as dimensional control and layout for proposed hardscape.  
</t>
    </r>
    <r>
      <rPr>
        <u/>
        <sz val="9"/>
        <color theme="1"/>
        <rFont val="Arial"/>
        <family val="2"/>
        <scheme val="minor"/>
      </rPr>
      <t>Fine Grading</t>
    </r>
    <r>
      <rPr>
        <sz val="9"/>
        <color theme="1"/>
        <rFont val="Arial"/>
        <family val="2"/>
        <scheme val="minor"/>
      </rPr>
      <t xml:space="preserve">: Showing spot elevations within landscape and hardscape areas. Landscape and hardscape areas consist of: sidewalks, courtyards, and planting beds. Retaining walls needed to accomplish the grading will be shown with proposed top and toe elevations in a “wall zone”.  The selection of the wall system and the structural design of the walls is beyond the limited scope of this agreement and will be provided by KH or others under a separate agreement with the Client.  Proposed landscape drains will be shown with rim elevations and reference civil storm sewer plans for conduit connections at the edge of the landscape areas.
</t>
    </r>
    <r>
      <rPr>
        <u/>
        <sz val="9"/>
        <color theme="1"/>
        <rFont val="Arial"/>
        <family val="2"/>
        <scheme val="minor"/>
      </rPr>
      <t>Planting Plans</t>
    </r>
    <r>
      <rPr>
        <sz val="9"/>
        <color theme="1"/>
        <rFont val="Arial"/>
        <family val="2"/>
        <scheme val="minor"/>
      </rPr>
      <t xml:space="preserve">: Showing plant species, sizes, and location with associated details for canopy trees, ornamental trees, shrubs and groundcover, and turf.
</t>
    </r>
    <r>
      <rPr>
        <u/>
        <sz val="9"/>
        <color theme="1"/>
        <rFont val="Arial"/>
        <family val="2"/>
        <scheme val="minor"/>
      </rPr>
      <t>Landscape and Hardscape Details</t>
    </r>
    <r>
      <rPr>
        <sz val="9"/>
        <color theme="1"/>
        <rFont val="Arial"/>
        <family val="2"/>
        <scheme val="minor"/>
      </rPr>
      <t xml:space="preserve">: Showing hardscape elements explicitly included in the Design Development package, consisting of details, sections, and elevation views. Certain submittals, shop drawings, samples, cut sheets and mockups will be listed for approval by Landscape Architect.
The Client will provide design for necessary storm sewer, water, and sanitary sewer connections for the proposed improvements through their civil engineer. Design of signage, retaining walls, fountains, pools, or other special features is not included in this scope.  </t>
    </r>
  </si>
  <si>
    <t xml:space="preserve">This task is to capture effort expended by KH for project submittals and responses to jurisdictional review comments beyond the effort otherwise included in our scope of services. Because the extent of the review comments required by the city for plan approval is unknown we have provided a projected budget for these services but actual cost will depend on actual effort required.  </t>
  </si>
  <si>
    <t xml:space="preserve">KH will prepare Schematic Lighting Plans related only to the proposed on-site landscape and hardscape areas. Kimley-Horn will coordinate with the Client and their Architect, Electrical Engineer, and Lighting Design Consultant to size and locate lights and show them on the plan. The plan may contain pedestrian light poles, lit bollards, tree uplighting, and landscape accent lights. The Client will provide electrical design and photometrics associated with the project’s lighting through other members of their consultant team.  </t>
  </si>
  <si>
    <r>
      <rPr>
        <u/>
        <sz val="9"/>
        <color theme="1"/>
        <rFont val="Arial"/>
        <family val="2"/>
        <scheme val="minor"/>
      </rPr>
      <t>Clarifications and Interpretations:</t>
    </r>
    <r>
      <rPr>
        <sz val="9"/>
        <color theme="1"/>
        <rFont val="Arial"/>
        <family val="2"/>
        <scheme val="minor"/>
      </rPr>
      <t xml:space="preserve"> KH will respond to reasonable and appropriate Contractor requests for information and issue clarifications and interpretations of the Contract Documents to Client.  Any authorization of variations from the Contract Documents will be made by Client.
</t>
    </r>
    <r>
      <rPr>
        <u/>
        <sz val="9"/>
        <color theme="1"/>
        <rFont val="Arial"/>
        <family val="2"/>
        <scheme val="minor"/>
      </rPr>
      <t>Review and Response to Shop Drawings:</t>
    </r>
    <r>
      <rPr>
        <sz val="9"/>
        <color theme="1"/>
        <rFont val="Arial"/>
        <family val="2"/>
        <scheme val="minor"/>
      </rPr>
      <t xml:space="preserve"> KH will review and respond to certain Shop Drawings, Samples and other data which Contractor is required to submit, but only for conformance with the information given in the Contract Documents.  </t>
    </r>
  </si>
  <si>
    <r>
      <rPr>
        <u/>
        <sz val="9"/>
        <color theme="1"/>
        <rFont val="Arial"/>
        <family val="2"/>
        <scheme val="minor"/>
      </rPr>
      <t>Clarifications and Interpretations:</t>
    </r>
    <r>
      <rPr>
        <sz val="9"/>
        <color theme="1"/>
        <rFont val="Arial"/>
        <family val="2"/>
        <scheme val="minor"/>
      </rPr>
      <t xml:space="preserve"> KH will respond to reasonable and appropriate Contractor requests for information and issue clarifications and interpretations of the Contract Documents to Client.  Any authorization of variations from the Contract Documents will be made by Client.
</t>
    </r>
    <r>
      <rPr>
        <u/>
        <sz val="9"/>
        <color theme="1"/>
        <rFont val="Arial"/>
        <family val="2"/>
        <scheme val="minor"/>
      </rPr>
      <t>Review and Response to Shop Drawings:</t>
    </r>
    <r>
      <rPr>
        <sz val="9"/>
        <color theme="1"/>
        <rFont val="Arial"/>
        <family val="2"/>
        <scheme val="minor"/>
      </rPr>
      <t xml:space="preserve"> KH will review and respond to certain Shop Drawings, Samples and other data which Contractor is required to submit, but only for conformance with the information given in the Contract Documents.</t>
    </r>
  </si>
  <si>
    <t xml:space="preserve">The Contractor will provide redlined set of the landscape drawings to KH showing all changes made to the approved design during construction. KH will review the relined drawings provided and will prepare Record Drawings. The Record Drawings will show only those changes exported by the Contractor to KH and considered to be significant, and will contain a note to this effect.  Record Drawings are not “As Built” drawings and no independent verification will be done by KH. KH will submit the Record Drawings to the local jurisdiction and provide the files to the Client in PDF format.  </t>
  </si>
  <si>
    <t>LOMR Topographic Survey</t>
  </si>
  <si>
    <t xml:space="preserve">The work associated with this task is well beyond typical Franchise Utility Coordination. A range of $10k to $20k is normal for most jurisdictions but can be above $20K. This task is recommended to be hourly with a budget of $20K. </t>
  </si>
  <si>
    <t>Effective through June 30, 2021</t>
  </si>
  <si>
    <t>Updated Muni Rate Schedules</t>
  </si>
  <si>
    <t>Retainer amounts should pass the common sense test (i.e. round up to nearest $1k or $5k)</t>
  </si>
  <si>
    <t>Updated Retainer section of Authorization page per Sarah Williams.  Move calcuation information to the side so it wouldn't be sent to the client.</t>
  </si>
  <si>
    <r>
      <t xml:space="preserve">If the Client has provided and directed KH to use a boundary survey prepared by others then KH will retrace that boundary in the field in an effort to determine whether it is legally correct.  If discrepancies or errors are found with the boundary then KH will inform the client but this task does not include effort to correct the work of others.
</t>
    </r>
    <r>
      <rPr>
        <sz val="8"/>
        <color theme="1"/>
        <rFont val="Arial"/>
        <family val="2"/>
        <scheme val="minor"/>
      </rPr>
      <t>TBPELS Firm Numbers:  Dallas: 10115500; Frisco: 10193822; Fort Worth: 10194040; San Antonio: 10193973; Austin: 10194624</t>
    </r>
    <r>
      <rPr>
        <sz val="9"/>
        <color theme="1"/>
        <rFont val="Arial"/>
        <family val="2"/>
        <scheme val="minor"/>
      </rPr>
      <t xml:space="preserve">  </t>
    </r>
  </si>
  <si>
    <r>
      <t xml:space="preserve">KH will prepare a topographic survey for the site to be used for site planning and civil engineering design purposes. The topographic survey is to be used in-house and will not be issued as a stand-alone survey document.  The survey will consist of:  Elevations around the immediate perimeter of the site; Contour lines representing the surface of the existing ground at one foot intervals based on a survey grid system and tied to existing control points; Observed (only if clearly visible from the surface) locations of existing water, sewer, storm drain, and franchised utility facility appurtenances; Dig Tess markings of subsurface utilities that are in place at the time our field work is being done; and two benchmarks established with the survey.
</t>
    </r>
    <r>
      <rPr>
        <sz val="8"/>
        <color theme="1"/>
        <rFont val="Arial"/>
        <family val="2"/>
        <scheme val="minor"/>
      </rPr>
      <t xml:space="preserve">TBPELS Firm Numbers:  Dallas: 10115500; Frisco: 10193822; Fort Worth: 10194040; San Antonio: 10193973; Austin: 10194624  </t>
    </r>
  </si>
  <si>
    <r>
      <t xml:space="preserve">KH will prepare and submit a Preliminary Plat,  Checklist, and Application to the local jurisdiction for review.  KH will attend one meeting with review staff and, if required, one public hearing at which the item is considered for approval. 
</t>
    </r>
    <r>
      <rPr>
        <sz val="8"/>
        <color theme="1"/>
        <rFont val="Arial"/>
        <family val="2"/>
        <scheme val="minor"/>
      </rPr>
      <t xml:space="preserve">TBPELS Firm Numbers:  Dallas: 10115500; Frisco: 10193822; Fort Worth: 10194040; San Antonio: 10193973; Austin: 10194624  </t>
    </r>
    <r>
      <rPr>
        <sz val="9"/>
        <color theme="1"/>
        <rFont val="Arial"/>
        <family val="2"/>
        <scheme val="minor"/>
      </rPr>
      <t xml:space="preserve">
</t>
    </r>
  </si>
  <si>
    <r>
      <t xml:space="preserve">KH will prepare and submit a Final Plat, Checklist, and Application to the local jurisdiction for review.  KH will attend one meeting with review staff and, if required, one public hearing at which the item is considered for approval.  If approved, KH will coordinate filing of the Plat with the County.  
</t>
    </r>
    <r>
      <rPr>
        <sz val="8"/>
        <color theme="1"/>
        <rFont val="Arial"/>
        <family val="2"/>
        <scheme val="minor"/>
      </rPr>
      <t xml:space="preserve">TBPELS Firm Numbers:  Dallas: 10115500; Frisco: 10193822; Fort Worth: 10194040; San Antonio: 10193973; Austin: 10194624  </t>
    </r>
  </si>
  <si>
    <r>
      <t xml:space="preserve">KH will prepare and submit a Replat, Checklist, and Application to the local jurisdiction for review.  KH will attend one meeting with review staff and, if required, one public hearing at which the item is considered for approval.  If approved, KH will coordinate filing of the Replat with the County.  
</t>
    </r>
    <r>
      <rPr>
        <sz val="8"/>
        <color theme="1"/>
        <rFont val="Arial"/>
        <family val="2"/>
        <scheme val="minor"/>
      </rPr>
      <t xml:space="preserve">TBPELS Firm Numbers:  Dallas: 10115500; Frisco: 10193822; Fort Worth: 10194040; San Antonio: 10193973; Austin: 10194624  </t>
    </r>
  </si>
  <si>
    <r>
      <t xml:space="preserve">KH will prepare and submit a Conveyance Plat, Checklist, and Application to the local jurisdiction for review.  KH will attend one meeting with review staff and, if required, one public hearing at which the item is considered for approval.  If approved, KH will coordinate filing of the Plat with the County.  
</t>
    </r>
    <r>
      <rPr>
        <sz val="8"/>
        <color theme="1"/>
        <rFont val="Arial"/>
        <family val="2"/>
        <scheme val="minor"/>
      </rPr>
      <t xml:space="preserve">TBPELS Firm Numbers:  Dallas: 10115500; Frisco: 10193822; Fort Worth: 10194040; San Antonio: 10193973; Austin: 10194624  </t>
    </r>
  </si>
  <si>
    <r>
      <t xml:space="preserve">KH will prepare a metes and bounds description and sketch showing the location and dimensions for one proposed easement.  Easement language will either be the unaltered standard language provided by the local jurisdiction, or as agreed to by the Grantor and Grantee and provided complete to KH.  The Client will file the document.
</t>
    </r>
    <r>
      <rPr>
        <sz val="8"/>
        <color theme="1"/>
        <rFont val="Arial"/>
        <family val="2"/>
        <scheme val="minor"/>
      </rPr>
      <t xml:space="preserve">TBPELS Firm Numbers:  Dallas: 10115500; Frisco: 10193822; Fort Worth: 10194040; San Antonio: 10193973; Austin: 10194624  </t>
    </r>
  </si>
  <si>
    <t xml:space="preserve">Sincerely, </t>
  </si>
  <si>
    <r>
      <t xml:space="preserve">(12)  </t>
    </r>
    <r>
      <rPr>
        <b/>
        <sz val="8"/>
        <color theme="1"/>
        <rFont val="Arial"/>
        <family val="2"/>
        <scheme val="minor"/>
      </rPr>
      <t xml:space="preserve">Certifications.  </t>
    </r>
    <r>
      <rPr>
        <sz val="8"/>
        <color theme="1"/>
        <rFont val="Arial"/>
        <family val="2"/>
        <scheme val="minor"/>
      </rPr>
      <t>All requests for the Consultant to execute certificates, lender consents, or other third-party reliance letters must be submitted to the Consultant at least 14 days prior to the requested date of execution.  The Consultant shall not be required to execute certificates, consents, or third-party reliance letters that are inaccurate, that relate to facts of which the Consultant does not have actual knowledge, or that would cause the Consultant to violate applicable rules of professional responsibility.</t>
    </r>
  </si>
  <si>
    <t xml:space="preserve">Updated #12 of T&amp;C per revised T&amp;C on legal page. Also note, change previously made but not tracted, the PP Task was updated to include Tax. </t>
  </si>
  <si>
    <t>This page is protected to prevent unintentional changes.  These standard provisions are current as of 12/3/2020.</t>
  </si>
  <si>
    <t>Office Location</t>
  </si>
  <si>
    <t>Austin</t>
  </si>
  <si>
    <t>Austin South</t>
  </si>
  <si>
    <t>Bryan/College Station</t>
  </si>
  <si>
    <t>Celina</t>
  </si>
  <si>
    <t>Childress</t>
  </si>
  <si>
    <t>Dallas</t>
  </si>
  <si>
    <t>Denton</t>
  </si>
  <si>
    <t>Ft. Worth</t>
  </si>
  <si>
    <t>Frisco</t>
  </si>
  <si>
    <t>Houston</t>
  </si>
  <si>
    <t>Las Colinas</t>
  </si>
  <si>
    <t>Lubbock</t>
  </si>
  <si>
    <t>McKinney</t>
  </si>
  <si>
    <t>Oklahoma</t>
  </si>
  <si>
    <t>San Antonio</t>
  </si>
  <si>
    <t>The Woodlands</t>
  </si>
  <si>
    <t>Office Phone</t>
  </si>
  <si>
    <t>Address</t>
  </si>
  <si>
    <t>512 418 1771</t>
  </si>
  <si>
    <t>10814 Jollyville Road, Campus IV, Suite 200, Austin, TX 78759</t>
  </si>
  <si>
    <t>2600 Via Fortuna, Terrace I, Suite 300, Austin, TX 78746</t>
  </si>
  <si>
    <t>2800 South Texas Avenue, Suite 201, Bryan, TX 77802</t>
  </si>
  <si>
    <t>400 North Oklahoma Drive, Suite 105, Celina, TX 75009</t>
  </si>
  <si>
    <t>1207 Avenue F NW, Suite 1, Childress, TX 79201</t>
  </si>
  <si>
    <t>100 West Oak Street, Suite 203, Denton, TX 76201</t>
  </si>
  <si>
    <t>801 Cherry Street, Unit 11, Suite 1300, Ft, Worth, TX 76102</t>
  </si>
  <si>
    <t>6160 Warren Parkway, Suite 210, Frisco, TX 75034</t>
  </si>
  <si>
    <t>11700 Katy Freeway, Suite 800, Houston, TX 77079</t>
  </si>
  <si>
    <t>2201 West Royal Lane, Suite 275, Irving, TX 75063</t>
  </si>
  <si>
    <t>4411 98th Street, Suite 300, Lubbock, TX 79424</t>
  </si>
  <si>
    <t>260 East Davis Street, Suite 100, McKinney, TX 75069</t>
  </si>
  <si>
    <t>14101 Wireless Way, Bldg. A, Suite 150, Oklahoma, City, OK 73134</t>
  </si>
  <si>
    <t>1400 Woodloch Forest Drive, Suite 225, The, Woodlands, TX 77380</t>
  </si>
  <si>
    <t>512 646 2237</t>
  </si>
  <si>
    <t>979 775 9595</t>
  </si>
  <si>
    <t>469 501 2200</t>
  </si>
  <si>
    <t>940 937 3423</t>
  </si>
  <si>
    <t>940 287 3620</t>
  </si>
  <si>
    <t>817 335 6511</t>
  </si>
  <si>
    <t>972 335 3580</t>
  </si>
  <si>
    <t>281 597 9300</t>
  </si>
  <si>
    <t>214 420 5600</t>
  </si>
  <si>
    <t>806 686 1080</t>
  </si>
  <si>
    <t>469 301 2580</t>
  </si>
  <si>
    <t>405 241 5423</t>
  </si>
  <si>
    <t>210 541 9166</t>
  </si>
  <si>
    <t>281 475 2816</t>
  </si>
  <si>
    <t xml:space="preserve">Zac Braxton </t>
  </si>
  <si>
    <t>On setup tab, added a drop down for the Texas offices. Made it so a macro will automatically update the footers when an office is selected.</t>
  </si>
  <si>
    <t>Select the office to place that address and phone number on the footer.</t>
  </si>
  <si>
    <r>
      <t xml:space="preserve">KH will prepare a survey to be substantially conforming with the current “Minimum Standard Detail Requirements for ALTA/NSPS Land Title Surveys,” jointly established and adopted by ALTA/NSPS in 2021 and limited to include Items 1, 3, 4, 8, 9, 13 and 16, Table A.  The survey will show the location of easements provided by the Client via their Title Company in a current Title Commitment Report for the site and encroachments or protrusions of visible improvements. The survey will graphically plot Special Flood Hazard areas as taken from the Flood Insurance Rate Map (FIRM) published by Federal Emergency Management Agency (FEMA).   The survey will use the Surveyor’s Certification language provided in the ALTA standards. Effort to prepare up to one revision based on simultaneous comments from the Client or the Client's attorney, title company, etc. is included in this task. Additional rounds of comments will be addressed and billed to the Client on an hourly basis.
</t>
    </r>
    <r>
      <rPr>
        <sz val="8"/>
        <color theme="1"/>
        <rFont val="Arial"/>
        <family val="2"/>
        <scheme val="minor"/>
      </rPr>
      <t xml:space="preserve">TBPELS Firm Numbers:  Dallas: 10115500; Frisco: 10193822; Fort Worth: 10194040; San Antonio: 10193973; Austin: 10194624  </t>
    </r>
  </si>
  <si>
    <t>Changed Task Description to update year from 2016 to 2021 for ALTA/NSPS</t>
  </si>
  <si>
    <t>601 NW Loop 410, Suite 350, San Antonio, TX 78216</t>
  </si>
  <si>
    <t xml:space="preserve">Due to the circumstances surrounding COVID-19, situations may arise during the performance of this Agreement that affect availability of resources and staff of Kimley-Horn, the client, other consultants, and public agencies.  There could be changes in anticipated delivery times, jurisdictional approvals, and project costs.  Kimley-Horn will exercise reasonable efforts to overcome the challenges presented by current circumstances, but Kimley-Horn will not be liable to Client for any delays, expenses, losses, or damages of any kind outside of its complete control. </t>
  </si>
  <si>
    <t xml:space="preserve">Revised note 6/9/21 (Matt Lucas, note provided by James Hall) addressing COVID-19 to be included in all contracts until further notice. </t>
  </si>
  <si>
    <t>$95 - $135</t>
  </si>
  <si>
    <t>Effective through June 30, 2022</t>
  </si>
  <si>
    <t>Change salutation and Ms./Mr.</t>
  </si>
  <si>
    <t>Dallas, Texas 77002</t>
  </si>
  <si>
    <t xml:space="preserve">Matt Lucas </t>
  </si>
  <si>
    <t>KH will prepare for and attend meetings with the design team, reviewing staff, neighbors and other stakeholders. Because the extent of the effort required is unknown we have provided a projected budget for these services but actual cost will depend on actual effort required.</t>
  </si>
  <si>
    <t>Revised “to the extent requested by the Client and budgeted for in this agreement” language to "Because the extent of the effort required is unknown we have provided a projected budget for these services but actual cost will depend on actual effort required."</t>
  </si>
  <si>
    <t>$125 - $200</t>
  </si>
  <si>
    <t>$180 - $240</t>
  </si>
  <si>
    <t>$225 - $285</t>
  </si>
  <si>
    <t>$265 - $300</t>
  </si>
  <si>
    <t>$150 - $220</t>
  </si>
  <si>
    <t>$95 - $140</t>
  </si>
  <si>
    <t>$150 - $255</t>
  </si>
  <si>
    <t>$210 - $290</t>
  </si>
  <si>
    <t>$230 - $360</t>
  </si>
  <si>
    <t>$320 - $380</t>
  </si>
  <si>
    <t>$100 - $140</t>
  </si>
  <si>
    <t>Subject to adjustment thereafter</t>
  </si>
  <si>
    <t>Updated January 2, 2022 by M. Lucas.</t>
  </si>
  <si>
    <t>Site limits / location / site acreage - clearly describe project limits.</t>
  </si>
  <si>
    <t xml:space="preserve">In paragraph format, describe: </t>
  </si>
  <si>
    <t>Dallas, Dallas County, Texas</t>
  </si>
  <si>
    <t xml:space="preserve">If only one person is signing for KH, then put a space in the Signer2 cells using the spacebar. This will eliminate the "0" that shows up on the authorization page. </t>
  </si>
  <si>
    <t xml:space="preserve">• Offsite easements, if needed.
• A dimensionally correct and zoning compliant site plan in AutoCAD format.
• Mechanical, Electrical, and Plumbing plans for the buildings showing size, location, and depth of all domestic and fire protection meters and lines, roof drains, sanitary sewer services, and electrical facilities.  
• A geotechnical investigation report with paving and building subsurface design recommendations.
• A current title commitment with legible copies of the Schedule B exceptions.
• Timely participation by other members of the consultant team.
• Any previously prepared surveys, reports, or documents with bearing on our scope of services.
• TDLR/ADA/FHWA or other accessibility-related review and input will be provided to KH prior to KH's commencement of final design of the Project, including a complete list of doors or other site features or amenities requiring accessible access or an accessible route. </t>
  </si>
  <si>
    <t>Parking Structure Layout Review</t>
  </si>
  <si>
    <t>$3,500 (&lt;1,000 SP), $4,500 (1,000-3,000 SP), $5,500 (3,000+ SP)</t>
  </si>
  <si>
    <t xml:space="preserve">Our deliverable will be a redline markup of the plans provided and an accompanying memorandum detailing our findings.  Our effort includes up to one two hour meeting to explain our review and findings to the architect and client.  Detailed exploration of alternatives or further investigation or layout design is beyond the scope of this task but can be provided as an additional service upon request.  This scope is intended to provide the Client with a greater degree of confidence that the plans have been prepared in general accordance with applicable professional standards of care.  For example, we will not review the garage for setbacks, height, building separation, lighting, signage/wayfinding fire suppression, or other zoning or code related items.  This scope is limited to the items described above and by time and budget and is not represented to be exhaustive.   By conducting this limited evaluation, Kimley-Horn is not assuming responsibility for the content and accuracy of the plans, and the Client acknowledges that it will not attempt to hold Kimley-Horn liable for any defects that may exist in the plans. </t>
  </si>
  <si>
    <t xml:space="preserve">Kimley-Horn will provide a limited third-party review of the parking structure design plans prepared for the Client by their architect and the architect’s sub-consultants.  We anticipate providing this review at the Design Development (DD) phase but will do it, one time, at whatever time the client requests.  The intent of this assessment is to evaluate, generally, the efficiency and effectiveness of the of the layout.  One complete set of drawings, in electronic format, shall be provided to Kimley-Horn for review. Our review will consist of evaluation of the plan with regard to the following elements:
      	Estimated parking capacity for the structure (compared to estimated parking demand calculated 
            and provided by Architect or Client);
      	Effectiveness of vehicular and pedestrian movement within the facility;
      	Parking allocation and separation of user groups;
      	Vehicular turning capabilities / conflicts;
      	Adequacy and location of vehicular access points;
      	Coordination of overall parking structure footprint with known site constraints;
      	Structural column layouts with respect to the parking and circulation layout;
      	Parking configurations, ramping, and traffic flow;
      	Location of stair and elevator vertical circulation cores;
      	Location and Type of access control systems; 
      	Parking accessibility to the physically handicapped; 
      	Loading and trash collection access and maneuverability.
</t>
  </si>
  <si>
    <t xml:space="preserve">Updated hourly rate schedules 
Add Parking Structure Reivew Task
Fixed several spelling errors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</si>
</sst>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5" formatCode="&quot;$&quot;#,##0_);\(&quot;$&quot;#,##0\)"/>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0.0%"/>
    <numFmt numFmtId="167" formatCode="&quot;$&quot;#,##0"/>
    <numFmt numFmtId="168" formatCode="&quot;$&quot;#,##0_);&quot;$&quot;\(#,##0\);&quot;Not Included&quot;"/>
    <numFmt numFmtId="169" formatCode="[$-409]mmmm\ d\,\ yyyy;@"/>
    <numFmt numFmtId="170" formatCode="#,##0.0_);\(#,##0.0\)"/>
    <numFmt numFmtId="171" formatCode="m/d/yyyy;@"/>
  </numFmts>
  <fonts count="55" x14ac:knownFonts="1">
    <font>
      <sz val="11"/>
      <color theme="1"/>
      <name val="Arial"/>
      <family val="2"/>
      <scheme val="minor"/>
    </font>
    <font>
      <sz val="11"/>
      <color theme="1"/>
      <name val="Arial"/>
      <family val="2"/>
      <scheme val="minor"/>
    </font>
    <font>
      <sz val="10"/>
      <color theme="1"/>
      <name val="Arial"/>
      <family val="2"/>
      <scheme val="minor"/>
    </font>
    <font>
      <b/>
      <sz val="10"/>
      <color theme="1"/>
      <name val="Arial"/>
      <family val="2"/>
      <scheme val="minor"/>
    </font>
    <font>
      <i/>
      <sz val="10"/>
      <color theme="1"/>
      <name val="Arial"/>
      <family val="2"/>
      <scheme val="minor"/>
    </font>
    <font>
      <b/>
      <sz val="11"/>
      <color rgb="FF000000"/>
      <name val="Calibri"/>
      <family val="2"/>
    </font>
    <font>
      <sz val="10"/>
      <color theme="4"/>
      <name val="Arial"/>
      <family val="2"/>
      <scheme val="minor"/>
    </font>
    <font>
      <b/>
      <sz val="10"/>
      <color theme="4"/>
      <name val="Arial"/>
      <family val="2"/>
      <scheme val="minor"/>
    </font>
    <font>
      <sz val="9"/>
      <color indexed="81"/>
      <name val="Tahoma"/>
      <family val="2"/>
    </font>
    <font>
      <sz val="10"/>
      <name val="Arial"/>
      <family val="2"/>
      <scheme val="minor"/>
    </font>
    <font>
      <i/>
      <sz val="10"/>
      <color theme="4"/>
      <name val="Arial"/>
      <family val="2"/>
      <scheme val="minor"/>
    </font>
    <font>
      <u/>
      <sz val="10"/>
      <color theme="1"/>
      <name val="Arial"/>
      <family val="2"/>
      <scheme val="minor"/>
    </font>
    <font>
      <b/>
      <sz val="12"/>
      <color theme="4"/>
      <name val="Arial"/>
      <family val="2"/>
      <scheme val="major"/>
    </font>
    <font>
      <b/>
      <sz val="9"/>
      <color theme="1"/>
      <name val="Arial"/>
      <family val="2"/>
      <scheme val="minor"/>
    </font>
    <font>
      <sz val="9"/>
      <color theme="1"/>
      <name val="Arial"/>
      <family val="2"/>
      <scheme val="minor"/>
    </font>
    <font>
      <u/>
      <sz val="9"/>
      <color theme="1"/>
      <name val="Arial"/>
      <family val="2"/>
      <scheme val="minor"/>
    </font>
    <font>
      <b/>
      <u/>
      <sz val="10"/>
      <color theme="1"/>
      <name val="Arial"/>
      <family val="2"/>
      <scheme val="minor"/>
    </font>
    <font>
      <sz val="8"/>
      <color theme="1"/>
      <name val="Arial"/>
      <family val="2"/>
      <scheme val="minor"/>
    </font>
    <font>
      <b/>
      <sz val="8"/>
      <color theme="1"/>
      <name val="Arial"/>
      <family val="2"/>
      <scheme val="minor"/>
    </font>
    <font>
      <b/>
      <sz val="12"/>
      <color theme="4"/>
      <name val="Arial"/>
      <family val="2"/>
      <scheme val="minor"/>
    </font>
    <font>
      <b/>
      <sz val="12"/>
      <name val="Arial"/>
      <family val="2"/>
      <scheme val="minor"/>
    </font>
    <font>
      <sz val="8"/>
      <color theme="1"/>
      <name val="Arial"/>
      <family val="2"/>
    </font>
    <font>
      <b/>
      <sz val="8"/>
      <color theme="1"/>
      <name val="Arial"/>
      <family val="2"/>
    </font>
    <font>
      <sz val="11"/>
      <color rgb="FF3F3F3F"/>
      <name val="Arial"/>
      <family val="2"/>
    </font>
    <font>
      <sz val="7"/>
      <color theme="1"/>
      <name val="Arial"/>
      <family val="2"/>
      <scheme val="minor"/>
    </font>
    <font>
      <b/>
      <sz val="12"/>
      <color theme="4"/>
      <name val="Arial"/>
      <family val="2"/>
    </font>
    <font>
      <b/>
      <sz val="11"/>
      <color theme="4"/>
      <name val="Arial"/>
      <family val="2"/>
      <scheme val="major"/>
    </font>
    <font>
      <b/>
      <i/>
      <sz val="10"/>
      <color theme="4"/>
      <name val="Arial"/>
      <family val="2"/>
      <scheme val="minor"/>
    </font>
    <font>
      <sz val="10"/>
      <color theme="1"/>
      <name val="Arial"/>
      <family val="2"/>
    </font>
    <font>
      <i/>
      <sz val="10"/>
      <color theme="1"/>
      <name val="Arial"/>
      <family val="2"/>
    </font>
    <font>
      <b/>
      <sz val="10"/>
      <color theme="1"/>
      <name val="Arial"/>
      <family val="2"/>
    </font>
    <font>
      <sz val="10"/>
      <color rgb="FF00B0F0"/>
      <name val="Arial"/>
      <family val="2"/>
    </font>
    <font>
      <sz val="8"/>
      <color theme="4"/>
      <name val="Arial"/>
      <family val="2"/>
      <scheme val="minor"/>
    </font>
    <font>
      <b/>
      <i/>
      <sz val="10"/>
      <color theme="1"/>
      <name val="Arial"/>
      <family val="2"/>
      <scheme val="minor"/>
    </font>
    <font>
      <b/>
      <sz val="14"/>
      <color theme="4"/>
      <name val="Arial"/>
      <family val="2"/>
      <scheme val="minor"/>
    </font>
    <font>
      <sz val="10"/>
      <color theme="1"/>
      <name val="Arial"/>
      <family val="2"/>
      <scheme val="major"/>
    </font>
    <font>
      <b/>
      <u/>
      <sz val="12"/>
      <color theme="4"/>
      <name val="Arial"/>
      <family val="2"/>
    </font>
    <font>
      <b/>
      <u/>
      <sz val="12"/>
      <color theme="4"/>
      <name val="Arial"/>
      <family val="2"/>
      <scheme val="minor"/>
    </font>
    <font>
      <i/>
      <sz val="11"/>
      <color theme="4"/>
      <name val="Arial"/>
      <family val="2"/>
      <scheme val="minor"/>
    </font>
    <font>
      <b/>
      <sz val="9"/>
      <color indexed="81"/>
      <name val="Tahoma"/>
      <family val="2"/>
    </font>
    <font>
      <b/>
      <sz val="18"/>
      <color theme="4"/>
      <name val="Arial"/>
      <family val="2"/>
      <scheme val="major"/>
    </font>
    <font>
      <sz val="18"/>
      <color theme="1"/>
      <name val="Arial"/>
      <family val="2"/>
      <scheme val="minor"/>
    </font>
    <font>
      <i/>
      <u/>
      <sz val="10"/>
      <color theme="4"/>
      <name val="Arial"/>
      <family val="2"/>
      <scheme val="minor"/>
    </font>
    <font>
      <i/>
      <sz val="10"/>
      <color theme="1" tint="-0.249977111117893"/>
      <name val="Arial"/>
      <family val="2"/>
    </font>
    <font>
      <u/>
      <sz val="10"/>
      <color theme="4"/>
      <name val="Arial"/>
      <family val="2"/>
      <scheme val="minor"/>
    </font>
    <font>
      <sz val="10"/>
      <color theme="4"/>
      <name val="Arial"/>
      <family val="2"/>
      <scheme val="minor"/>
    </font>
    <font>
      <b/>
      <sz val="10"/>
      <color theme="0"/>
      <name val="Arial"/>
      <family val="2"/>
      <scheme val="minor"/>
    </font>
    <font>
      <sz val="12"/>
      <color theme="1"/>
      <name val="Calibri"/>
      <family val="2"/>
    </font>
    <font>
      <b/>
      <sz val="10"/>
      <color rgb="FFFF0000"/>
      <name val="Arial"/>
      <family val="2"/>
      <scheme val="minor"/>
    </font>
    <font>
      <sz val="8"/>
      <color theme="1"/>
      <name val="Segoe UI"/>
      <family val="2"/>
    </font>
    <font>
      <sz val="11"/>
      <color theme="1"/>
      <name val="Calibri"/>
      <family val="2"/>
    </font>
    <font>
      <sz val="10"/>
      <color rgb="FFC00000"/>
      <name val="Arial"/>
      <family val="2"/>
      <scheme val="minor"/>
    </font>
    <font>
      <sz val="10"/>
      <color theme="1"/>
      <name val="Tahoma"/>
      <family val="2"/>
    </font>
    <font>
      <sz val="10"/>
      <color rgb="FF222222"/>
      <name val="Arial"/>
      <family val="2"/>
    </font>
    <font>
      <sz val="10"/>
      <color theme="1"/>
      <name val="Arial"/>
      <family val="2"/>
    </font>
  </fonts>
  <fills count="6">
    <fill>
      <patternFill patternType="none"/>
    </fill>
    <fill>
      <patternFill patternType="gray125"/>
    </fill>
    <fill>
      <patternFill patternType="solid">
        <fgColor theme="1" tint="0.79998168889431442"/>
        <bgColor indexed="64"/>
      </patternFill>
    </fill>
    <fill>
      <patternFill patternType="solid">
        <fgColor theme="8"/>
        <bgColor indexed="64"/>
      </patternFill>
    </fill>
    <fill>
      <patternFill patternType="solid">
        <fgColor theme="0"/>
        <bgColor indexed="64"/>
      </patternFill>
    </fill>
    <fill>
      <patternFill patternType="solid">
        <fgColor rgb="FF92D050"/>
        <bgColor indexed="64"/>
      </patternFill>
    </fill>
  </fills>
  <borders count="11">
    <border>
      <left/>
      <right/>
      <top/>
      <bottom/>
      <diagonal/>
    </border>
    <border>
      <left style="thin">
        <color theme="1" tint="0.59996337778862885"/>
      </left>
      <right style="thin">
        <color theme="1" tint="0.59996337778862885"/>
      </right>
      <top style="thin">
        <color theme="1" tint="0.59996337778862885"/>
      </top>
      <bottom style="thin">
        <color theme="1" tint="0.59996337778862885"/>
      </bottom>
      <diagonal/>
    </border>
    <border>
      <left style="thin">
        <color theme="1" tint="0.59996337778862885"/>
      </left>
      <right/>
      <top style="thin">
        <color theme="1" tint="0.59996337778862885"/>
      </top>
      <bottom style="thin">
        <color theme="1" tint="0.59996337778862885"/>
      </bottom>
      <diagonal/>
    </border>
    <border>
      <left/>
      <right style="thin">
        <color theme="1" tint="0.59996337778862885"/>
      </right>
      <top style="thin">
        <color theme="1" tint="0.59996337778862885"/>
      </top>
      <bottom style="thin">
        <color theme="1" tint="0.59996337778862885"/>
      </bottom>
      <diagonal/>
    </border>
    <border>
      <left/>
      <right/>
      <top style="thin">
        <color theme="1" tint="0.59996337778862885"/>
      </top>
      <bottom style="thin">
        <color theme="1" tint="0.59996337778862885"/>
      </bottom>
      <diagonal/>
    </border>
    <border>
      <left/>
      <right/>
      <top style="thin">
        <color indexed="64"/>
      </top>
      <bottom/>
      <diagonal/>
    </border>
    <border>
      <left/>
      <right/>
      <top style="hair">
        <color auto="1"/>
      </top>
      <bottom style="hair">
        <color auto="1"/>
      </bottom>
      <diagonal/>
    </border>
    <border>
      <left/>
      <right/>
      <top/>
      <bottom style="thin">
        <color indexed="64"/>
      </bottom>
      <diagonal/>
    </border>
    <border>
      <left style="medium">
        <color rgb="FFE2E2E2"/>
      </left>
      <right style="medium">
        <color rgb="FFE2E2E2"/>
      </right>
      <top/>
      <bottom style="medium">
        <color rgb="FFE2E2E2"/>
      </bottom>
      <diagonal/>
    </border>
    <border>
      <left style="medium">
        <color rgb="FFC0C0C0"/>
      </left>
      <right style="medium">
        <color rgb="FFC0C0C0"/>
      </right>
      <top/>
      <bottom/>
      <diagonal/>
    </border>
    <border>
      <left style="medium">
        <color rgb="FFE2E2E2"/>
      </left>
      <right style="medium">
        <color rgb="FFE2E2E2"/>
      </right>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52" fillId="0" borderId="0"/>
  </cellStyleXfs>
  <cellXfs count="214">
    <xf numFmtId="0" fontId="0" fillId="0" borderId="0" xfId="0"/>
    <xf numFmtId="0" fontId="2" fillId="0" borderId="0" xfId="0" applyFont="1"/>
    <xf numFmtId="6" fontId="2" fillId="0" borderId="0" xfId="0" applyNumberFormat="1" applyFont="1" applyAlignment="1">
      <alignment vertical="center"/>
    </xf>
    <xf numFmtId="0" fontId="5" fillId="0" borderId="0" xfId="0" applyFont="1" applyAlignment="1">
      <alignment horizontal="left" vertical="center" indent="1"/>
    </xf>
    <xf numFmtId="15" fontId="2" fillId="0" borderId="0" xfId="0" applyNumberFormat="1" applyFont="1"/>
    <xf numFmtId="0" fontId="3" fillId="0" borderId="0" xfId="0" applyFont="1" applyAlignment="1">
      <alignment horizontal="center" vertical="center"/>
    </xf>
    <xf numFmtId="0" fontId="2" fillId="0" borderId="1" xfId="0" applyFont="1" applyBorder="1" applyAlignment="1">
      <alignment horizontal="center" vertical="center"/>
    </xf>
    <xf numFmtId="0" fontId="2" fillId="0" borderId="0" xfId="0" applyFont="1" applyAlignment="1">
      <alignment horizontal="center" vertical="center"/>
    </xf>
    <xf numFmtId="0" fontId="2" fillId="0" borderId="0" xfId="0" applyFont="1" applyAlignment="1">
      <alignment horizontal="right" vertical="center" wrapText="1"/>
    </xf>
    <xf numFmtId="0" fontId="2" fillId="0" borderId="0" xfId="0" applyFont="1" applyAlignment="1">
      <alignment vertical="top" wrapText="1"/>
    </xf>
    <xf numFmtId="0" fontId="2" fillId="0" borderId="4" xfId="0" applyFont="1" applyBorder="1" applyAlignment="1">
      <alignment horizontal="right" vertical="center" wrapText="1"/>
    </xf>
    <xf numFmtId="0" fontId="2" fillId="0" borderId="4" xfId="0" applyFont="1" applyBorder="1" applyAlignment="1">
      <alignment vertical="center" wrapText="1"/>
    </xf>
    <xf numFmtId="0" fontId="2" fillId="0" borderId="4" xfId="0" applyFont="1" applyBorder="1" applyAlignment="1">
      <alignment horizontal="left" vertical="center" wrapText="1"/>
    </xf>
    <xf numFmtId="0" fontId="3" fillId="2" borderId="3" xfId="0" applyFont="1" applyFill="1" applyBorder="1" applyAlignment="1">
      <alignment horizontal="center" vertical="center"/>
    </xf>
    <xf numFmtId="0" fontId="3" fillId="2" borderId="3" xfId="0" applyFont="1" applyFill="1" applyBorder="1" applyAlignment="1">
      <alignment horizontal="centerContinuous" vertical="center" wrapText="1"/>
    </xf>
    <xf numFmtId="0" fontId="3" fillId="2" borderId="1" xfId="1" applyNumberFormat="1" applyFont="1" applyFill="1" applyBorder="1" applyAlignment="1">
      <alignment horizontal="center" vertical="center"/>
    </xf>
    <xf numFmtId="6" fontId="2" fillId="0" borderId="4" xfId="0" applyNumberFormat="1" applyFont="1" applyBorder="1" applyAlignment="1">
      <alignment horizontal="right" vertical="center"/>
    </xf>
    <xf numFmtId="0" fontId="3" fillId="0" borderId="4" xfId="0" applyFont="1" applyBorder="1" applyAlignment="1">
      <alignment horizontal="right" vertical="center" wrapText="1"/>
    </xf>
    <xf numFmtId="0" fontId="2" fillId="0" borderId="1" xfId="0" applyFont="1" applyBorder="1" applyAlignment="1">
      <alignment horizontal="right" vertical="center" wrapText="1"/>
    </xf>
    <xf numFmtId="0" fontId="2" fillId="0" borderId="0" xfId="0" applyFont="1" applyAlignment="1">
      <alignment horizontal="centerContinuous" vertical="center"/>
    </xf>
    <xf numFmtId="0" fontId="2" fillId="0" borderId="0" xfId="0" applyFont="1" applyAlignment="1">
      <alignment horizontal="centerContinuous" vertical="center" wrapText="1"/>
    </xf>
    <xf numFmtId="0" fontId="2" fillId="0" borderId="0" xfId="1" applyNumberFormat="1" applyFont="1" applyFill="1" applyBorder="1" applyAlignment="1">
      <alignment horizontal="centerContinuous" vertical="center"/>
    </xf>
    <xf numFmtId="165" fontId="6" fillId="0" borderId="0" xfId="1" applyNumberFormat="1" applyFont="1" applyFill="1" applyBorder="1" applyAlignment="1">
      <alignmen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0" xfId="1" applyNumberFormat="1" applyFont="1" applyFill="1" applyBorder="1" applyAlignment="1">
      <alignment vertical="center"/>
    </xf>
    <xf numFmtId="0" fontId="2" fillId="0" borderId="0" xfId="1" applyNumberFormat="1" applyFont="1" applyFill="1" applyBorder="1" applyAlignment="1">
      <alignment horizontal="left" vertical="center"/>
    </xf>
    <xf numFmtId="165" fontId="7" fillId="0" borderId="0" xfId="1" applyNumberFormat="1" applyFont="1" applyFill="1" applyBorder="1" applyAlignment="1">
      <alignment horizontal="centerContinuous" vertical="center"/>
    </xf>
    <xf numFmtId="164" fontId="2" fillId="0" borderId="0" xfId="0" applyNumberFormat="1" applyFont="1" applyAlignment="1">
      <alignment vertical="center"/>
    </xf>
    <xf numFmtId="165" fontId="6" fillId="0" borderId="0" xfId="1" applyNumberFormat="1" applyFont="1" applyFill="1" applyBorder="1" applyAlignment="1">
      <alignment horizontal="center" vertical="center"/>
    </xf>
    <xf numFmtId="0" fontId="2" fillId="0" borderId="1" xfId="0" applyFont="1" applyBorder="1" applyAlignment="1">
      <alignment vertical="center" wrapText="1"/>
    </xf>
    <xf numFmtId="5" fontId="2" fillId="0" borderId="1" xfId="1" applyNumberFormat="1" applyFont="1" applyFill="1" applyBorder="1" applyAlignment="1">
      <alignment vertical="center"/>
    </xf>
    <xf numFmtId="0" fontId="7" fillId="0" borderId="0" xfId="0" applyFont="1" applyAlignment="1">
      <alignment vertical="center"/>
    </xf>
    <xf numFmtId="0" fontId="2" fillId="0" borderId="1" xfId="0" applyFont="1" applyBorder="1" applyAlignment="1">
      <alignment horizontal="center" vertical="center" wrapText="1"/>
    </xf>
    <xf numFmtId="165" fontId="7" fillId="0" borderId="0" xfId="1" applyNumberFormat="1" applyFont="1" applyFill="1" applyBorder="1" applyAlignment="1">
      <alignment vertical="center"/>
    </xf>
    <xf numFmtId="0" fontId="3" fillId="0" borderId="0" xfId="0" applyFont="1" applyAlignment="1">
      <alignment vertical="center"/>
    </xf>
    <xf numFmtId="0" fontId="2" fillId="0" borderId="1" xfId="0" applyFont="1" applyBorder="1" applyAlignment="1">
      <alignment horizontal="left" vertical="center" wrapText="1"/>
    </xf>
    <xf numFmtId="5" fontId="2" fillId="0" borderId="0" xfId="1" applyNumberFormat="1" applyFont="1" applyFill="1" applyBorder="1" applyAlignment="1">
      <alignment vertical="center"/>
    </xf>
    <xf numFmtId="5" fontId="2" fillId="0" borderId="4" xfId="1" applyNumberFormat="1" applyFont="1" applyFill="1" applyBorder="1" applyAlignment="1">
      <alignment vertical="center"/>
    </xf>
    <xf numFmtId="5" fontId="3" fillId="0" borderId="4" xfId="1" applyNumberFormat="1" applyFont="1" applyFill="1" applyBorder="1" applyAlignment="1">
      <alignment vertical="center"/>
    </xf>
    <xf numFmtId="37" fontId="6" fillId="0" borderId="0" xfId="1" applyNumberFormat="1" applyFont="1" applyFill="1" applyBorder="1" applyAlignment="1">
      <alignment vertical="center"/>
    </xf>
    <xf numFmtId="37" fontId="6" fillId="0" borderId="0" xfId="0" applyNumberFormat="1" applyFont="1" applyAlignment="1">
      <alignment vertical="center"/>
    </xf>
    <xf numFmtId="37" fontId="7" fillId="0" borderId="0" xfId="1" applyNumberFormat="1" applyFont="1" applyFill="1" applyBorder="1" applyAlignment="1">
      <alignment horizontal="centerContinuous" vertical="center"/>
    </xf>
    <xf numFmtId="37" fontId="7" fillId="0" borderId="0" xfId="0" applyNumberFormat="1" applyFont="1" applyAlignment="1">
      <alignment vertical="center"/>
    </xf>
    <xf numFmtId="37" fontId="2" fillId="0" borderId="0" xfId="0" applyNumberFormat="1" applyFont="1" applyAlignment="1">
      <alignment vertical="center"/>
    </xf>
    <xf numFmtId="37" fontId="7" fillId="0" borderId="0" xfId="1" applyNumberFormat="1" applyFont="1" applyFill="1" applyBorder="1" applyAlignment="1">
      <alignment vertical="center"/>
    </xf>
    <xf numFmtId="0" fontId="3" fillId="2" borderId="2" xfId="0" applyFont="1" applyFill="1" applyBorder="1" applyAlignment="1">
      <alignment horizontal="center" vertical="center"/>
    </xf>
    <xf numFmtId="0" fontId="2" fillId="0" borderId="2" xfId="0" applyFont="1" applyBorder="1" applyAlignment="1">
      <alignment horizontal="center" vertical="center"/>
    </xf>
    <xf numFmtId="0" fontId="3" fillId="0" borderId="2" xfId="0" applyFont="1" applyBorder="1" applyAlignment="1">
      <alignment horizontal="left" vertical="center"/>
    </xf>
    <xf numFmtId="0" fontId="2" fillId="0" borderId="0" xfId="0" applyFont="1" applyAlignment="1">
      <alignment horizontal="left"/>
    </xf>
    <xf numFmtId="0" fontId="3" fillId="0" borderId="0" xfId="0" applyFont="1" applyAlignment="1">
      <alignment horizontal="left"/>
    </xf>
    <xf numFmtId="0" fontId="10" fillId="0" borderId="0" xfId="0" applyFont="1"/>
    <xf numFmtId="1" fontId="2" fillId="0" borderId="0" xfId="2" applyNumberFormat="1" applyFont="1" applyFill="1" applyAlignment="1">
      <alignment horizontal="left"/>
    </xf>
    <xf numFmtId="168" fontId="2" fillId="0" borderId="1" xfId="1" applyNumberFormat="1" applyFont="1" applyFill="1" applyBorder="1" applyAlignment="1">
      <alignment vertical="center"/>
    </xf>
    <xf numFmtId="0" fontId="2" fillId="0" borderId="0" xfId="0" applyFont="1" applyAlignment="1">
      <alignment horizontal="center" vertical="center" wrapText="1"/>
    </xf>
    <xf numFmtId="0" fontId="3" fillId="0" borderId="1" xfId="0" applyFont="1" applyBorder="1" applyAlignment="1">
      <alignment horizontal="right" vertical="center" wrapText="1"/>
    </xf>
    <xf numFmtId="5" fontId="3" fillId="0" borderId="1" xfId="1" applyNumberFormat="1" applyFont="1" applyFill="1" applyBorder="1" applyAlignment="1">
      <alignment vertical="center"/>
    </xf>
    <xf numFmtId="0" fontId="3" fillId="0" borderId="1" xfId="0" applyFont="1" applyBorder="1" applyAlignment="1">
      <alignment horizontal="left" vertical="center" wrapText="1"/>
    </xf>
    <xf numFmtId="0" fontId="2" fillId="0" borderId="3" xfId="0" applyFont="1" applyBorder="1" applyAlignment="1">
      <alignment horizontal="center" vertical="center"/>
    </xf>
    <xf numFmtId="0" fontId="2" fillId="0" borderId="3" xfId="0" quotePrefix="1" applyFont="1" applyBorder="1" applyAlignment="1">
      <alignment horizontal="center" vertical="center"/>
    </xf>
    <xf numFmtId="6" fontId="2" fillId="0" borderId="3" xfId="0" applyNumberFormat="1" applyFont="1" applyBorder="1" applyAlignment="1">
      <alignment horizontal="center" vertical="center"/>
    </xf>
    <xf numFmtId="6" fontId="2" fillId="0" borderId="0" xfId="0" applyNumberFormat="1" applyFont="1" applyAlignment="1">
      <alignment horizontal="center" vertical="center"/>
    </xf>
    <xf numFmtId="0" fontId="3" fillId="0" borderId="1" xfId="0" applyFont="1" applyBorder="1" applyAlignment="1">
      <alignment horizontal="center" vertical="center"/>
    </xf>
    <xf numFmtId="168" fontId="3" fillId="0" borderId="1" xfId="1" applyNumberFormat="1" applyFont="1" applyFill="1" applyBorder="1" applyAlignment="1">
      <alignment vertical="center"/>
    </xf>
    <xf numFmtId="0" fontId="3" fillId="0" borderId="3" xfId="0" applyFont="1" applyBorder="1" applyAlignment="1">
      <alignment horizontal="center" vertical="center"/>
    </xf>
    <xf numFmtId="164" fontId="3" fillId="0" borderId="4" xfId="0" applyNumberFormat="1" applyFont="1" applyBorder="1"/>
    <xf numFmtId="168" fontId="2" fillId="0" borderId="4" xfId="0" applyNumberFormat="1" applyFont="1" applyBorder="1"/>
    <xf numFmtId="164" fontId="2" fillId="0" borderId="4" xfId="0" applyNumberFormat="1" applyFont="1" applyBorder="1" applyAlignment="1">
      <alignment horizontal="center"/>
    </xf>
    <xf numFmtId="9" fontId="6" fillId="0" borderId="0" xfId="3" applyFont="1" applyFill="1" applyBorder="1" applyAlignment="1">
      <alignment vertical="center"/>
    </xf>
    <xf numFmtId="0" fontId="12" fillId="0" borderId="0" xfId="0" applyFont="1" applyAlignment="1">
      <alignment vertical="top" wrapText="1"/>
    </xf>
    <xf numFmtId="0" fontId="12" fillId="0" borderId="0" xfId="0" applyFont="1" applyAlignment="1">
      <alignment vertical="top"/>
    </xf>
    <xf numFmtId="6" fontId="2" fillId="0" borderId="4" xfId="0" applyNumberFormat="1" applyFont="1" applyBorder="1" applyAlignment="1">
      <alignment horizontal="center" vertical="center"/>
    </xf>
    <xf numFmtId="169" fontId="2" fillId="0" borderId="0" xfId="0" applyNumberFormat="1" applyFont="1" applyAlignment="1">
      <alignment horizontal="left" vertical="top" wrapText="1"/>
    </xf>
    <xf numFmtId="0" fontId="2" fillId="0" borderId="0" xfId="0" applyFont="1" applyAlignment="1">
      <alignment horizontal="right" vertical="center"/>
    </xf>
    <xf numFmtId="0" fontId="2" fillId="0" borderId="0" xfId="0" quotePrefix="1" applyFont="1" applyAlignment="1">
      <alignment horizontal="right" vertical="top"/>
    </xf>
    <xf numFmtId="0" fontId="2" fillId="0" borderId="0" xfId="0" applyFont="1" applyAlignment="1">
      <alignment horizontal="left" vertical="center"/>
    </xf>
    <xf numFmtId="0" fontId="2" fillId="0" borderId="5" xfId="0" applyFont="1" applyBorder="1" applyAlignment="1">
      <alignment vertical="top" wrapText="1"/>
    </xf>
    <xf numFmtId="0" fontId="2" fillId="0" borderId="0" xfId="0" applyFont="1" applyAlignment="1">
      <alignment vertical="top"/>
    </xf>
    <xf numFmtId="0" fontId="14" fillId="0" borderId="0" xfId="0" applyFont="1" applyAlignment="1">
      <alignment vertical="top" wrapText="1"/>
    </xf>
    <xf numFmtId="0" fontId="16" fillId="0" borderId="0" xfId="0" applyFont="1"/>
    <xf numFmtId="37" fontId="6" fillId="3" borderId="0" xfId="1" applyNumberFormat="1" applyFont="1" applyFill="1" applyBorder="1" applyAlignment="1">
      <alignment vertical="center"/>
    </xf>
    <xf numFmtId="0" fontId="4" fillId="0" borderId="0" xfId="0" applyFont="1" applyAlignment="1">
      <alignment vertical="top" wrapText="1"/>
    </xf>
    <xf numFmtId="0" fontId="20" fillId="0" borderId="0" xfId="0" applyFont="1" applyAlignment="1">
      <alignment vertical="top" wrapText="1"/>
    </xf>
    <xf numFmtId="0" fontId="9" fillId="0" borderId="0" xfId="0" applyFont="1" applyAlignment="1">
      <alignment horizontal="right" vertical="center"/>
    </xf>
    <xf numFmtId="0" fontId="9" fillId="0" borderId="0" xfId="0" applyFont="1" applyAlignment="1">
      <alignment vertical="center"/>
    </xf>
    <xf numFmtId="0" fontId="9" fillId="0" borderId="0" xfId="0" applyFont="1" applyAlignment="1">
      <alignment vertical="top" wrapText="1"/>
    </xf>
    <xf numFmtId="0" fontId="9" fillId="0" borderId="0" xfId="0" applyFont="1" applyAlignment="1">
      <alignment horizontal="right" vertical="top" wrapText="1"/>
    </xf>
    <xf numFmtId="0" fontId="17" fillId="0" borderId="0" xfId="0" applyFont="1" applyAlignment="1">
      <alignment vertical="top"/>
    </xf>
    <xf numFmtId="37" fontId="19" fillId="0" borderId="0" xfId="1" applyNumberFormat="1" applyFont="1" applyFill="1" applyBorder="1" applyAlignment="1">
      <alignment vertical="center"/>
    </xf>
    <xf numFmtId="0" fontId="2" fillId="0" borderId="0" xfId="0" applyFont="1" applyAlignment="1">
      <alignment horizontal="justify" vertical="top" wrapText="1"/>
    </xf>
    <xf numFmtId="0" fontId="3" fillId="0" borderId="4" xfId="0" applyFont="1" applyBorder="1" applyAlignment="1">
      <alignment horizontal="center"/>
    </xf>
    <xf numFmtId="0" fontId="24" fillId="0" borderId="0" xfId="0" applyFont="1" applyAlignment="1">
      <alignment horizontal="left" vertical="center" indent="2"/>
    </xf>
    <xf numFmtId="0" fontId="25" fillId="0" borderId="0" xfId="0" applyFont="1" applyAlignment="1">
      <alignment vertical="top"/>
    </xf>
    <xf numFmtId="0" fontId="0" fillId="0" borderId="0" xfId="0" applyAlignment="1">
      <alignment horizontal="left" vertical="top" wrapText="1"/>
    </xf>
    <xf numFmtId="0" fontId="0" fillId="0" borderId="0" xfId="0" applyAlignment="1">
      <alignment vertical="top"/>
    </xf>
    <xf numFmtId="0" fontId="17" fillId="0" borderId="0" xfId="0" applyFont="1" applyAlignment="1">
      <alignment vertical="top" wrapText="1"/>
    </xf>
    <xf numFmtId="0" fontId="21" fillId="0" borderId="0" xfId="0" applyFont="1" applyAlignment="1">
      <alignment vertical="top" wrapText="1"/>
    </xf>
    <xf numFmtId="0" fontId="13" fillId="0" borderId="0" xfId="0" applyFont="1" applyAlignment="1">
      <alignment wrapText="1"/>
    </xf>
    <xf numFmtId="0" fontId="3" fillId="0" borderId="0" xfId="0" applyFont="1" applyAlignment="1">
      <alignment wrapText="1"/>
    </xf>
    <xf numFmtId="0" fontId="3" fillId="0" borderId="0" xfId="1" applyNumberFormat="1" applyFont="1" applyFill="1" applyBorder="1" applyAlignment="1">
      <alignment horizontal="right" vertical="center"/>
    </xf>
    <xf numFmtId="167" fontId="3" fillId="0" borderId="0" xfId="1" applyNumberFormat="1" applyFont="1" applyFill="1" applyBorder="1" applyAlignment="1">
      <alignment horizontal="left" vertical="center"/>
    </xf>
    <xf numFmtId="0" fontId="2" fillId="4" borderId="0" xfId="0" applyFont="1" applyFill="1" applyAlignment="1">
      <alignment vertical="center"/>
    </xf>
    <xf numFmtId="0" fontId="2" fillId="0" borderId="0" xfId="0" applyFont="1" applyAlignment="1">
      <alignment horizontal="justify" vertical="center"/>
    </xf>
    <xf numFmtId="0" fontId="26" fillId="0" borderId="0" xfId="0" applyFont="1" applyAlignment="1">
      <alignment horizontal="left" vertical="top"/>
    </xf>
    <xf numFmtId="0" fontId="7" fillId="0" borderId="0" xfId="0" applyFont="1" applyAlignment="1">
      <alignment horizontal="left" vertical="top"/>
    </xf>
    <xf numFmtId="0" fontId="27" fillId="0" borderId="0" xfId="0" applyFont="1" applyAlignment="1">
      <alignment vertical="top" wrapText="1"/>
    </xf>
    <xf numFmtId="0" fontId="7" fillId="0" borderId="0" xfId="0" applyFont="1" applyAlignment="1">
      <alignment vertical="top" wrapText="1"/>
    </xf>
    <xf numFmtId="0" fontId="2" fillId="0" borderId="0" xfId="0" applyFont="1" applyAlignment="1">
      <alignment horizontal="left" vertical="top" wrapText="1"/>
    </xf>
    <xf numFmtId="0" fontId="28" fillId="0" borderId="0" xfId="0" applyFont="1" applyAlignment="1">
      <alignment horizontal="left" vertical="top" wrapText="1"/>
    </xf>
    <xf numFmtId="0" fontId="28" fillId="0" borderId="0" xfId="0" applyFont="1" applyAlignment="1">
      <alignment vertical="top" wrapText="1"/>
    </xf>
    <xf numFmtId="0" fontId="25" fillId="0" borderId="0" xfId="0" applyFont="1" applyAlignment="1">
      <alignment vertical="top" wrapText="1"/>
    </xf>
    <xf numFmtId="0" fontId="7" fillId="0" borderId="0" xfId="0" applyFont="1" applyAlignment="1">
      <alignment vertical="top"/>
    </xf>
    <xf numFmtId="165" fontId="7" fillId="0" borderId="0" xfId="1" applyNumberFormat="1" applyFont="1" applyFill="1" applyBorder="1" applyAlignment="1">
      <alignment vertical="top"/>
    </xf>
    <xf numFmtId="0" fontId="6" fillId="0" borderId="0" xfId="0" applyFont="1" applyAlignment="1">
      <alignment vertical="top"/>
    </xf>
    <xf numFmtId="165" fontId="6" fillId="0" borderId="0" xfId="1" applyNumberFormat="1" applyFont="1" applyFill="1" applyBorder="1" applyAlignment="1">
      <alignment vertical="top"/>
    </xf>
    <xf numFmtId="0" fontId="19" fillId="0" borderId="0" xfId="0" applyFont="1" applyAlignment="1">
      <alignment vertical="center"/>
    </xf>
    <xf numFmtId="0" fontId="29" fillId="0" borderId="0" xfId="0" applyFont="1" applyAlignment="1">
      <alignment horizontal="left" vertical="top" wrapText="1" indent="2"/>
    </xf>
    <xf numFmtId="0" fontId="30" fillId="0" borderId="0" xfId="0" applyFont="1" applyAlignment="1">
      <alignment horizontal="justify" vertical="top" wrapText="1"/>
    </xf>
    <xf numFmtId="0" fontId="7" fillId="0" borderId="0" xfId="0" applyFont="1" applyAlignment="1">
      <alignment horizontal="left" vertical="top" wrapText="1" indent="2"/>
    </xf>
    <xf numFmtId="0" fontId="6" fillId="0" borderId="4" xfId="0" applyFont="1" applyBorder="1" applyAlignment="1">
      <alignment horizontal="center" vertical="center"/>
    </xf>
    <xf numFmtId="0" fontId="7" fillId="0" borderId="0" xfId="0" applyFont="1" applyAlignment="1">
      <alignment horizontal="center" vertical="top"/>
    </xf>
    <xf numFmtId="0" fontId="6" fillId="3" borderId="0" xfId="0" applyFont="1" applyFill="1" applyAlignment="1">
      <alignment horizontal="center" vertical="top"/>
    </xf>
    <xf numFmtId="0" fontId="6" fillId="3" borderId="0" xfId="0" quotePrefix="1" applyFont="1" applyFill="1" applyAlignment="1">
      <alignment horizontal="center" vertical="top"/>
    </xf>
    <xf numFmtId="0" fontId="6" fillId="0" borderId="0" xfId="0" applyFont="1" applyAlignment="1">
      <alignment horizontal="center" vertical="top"/>
    </xf>
    <xf numFmtId="0" fontId="32" fillId="0" borderId="0" xfId="0" applyFont="1" applyAlignment="1">
      <alignment vertical="center"/>
    </xf>
    <xf numFmtId="0" fontId="12" fillId="0" borderId="0" xfId="0" applyFont="1" applyAlignment="1">
      <alignment horizontal="left" vertical="top" wrapText="1"/>
    </xf>
    <xf numFmtId="14" fontId="28" fillId="0" borderId="0" xfId="0" applyNumberFormat="1" applyFont="1" applyAlignment="1">
      <alignment horizontal="left" vertical="top" wrapText="1"/>
    </xf>
    <xf numFmtId="0" fontId="0" fillId="0" borderId="0" xfId="0" applyAlignment="1">
      <alignment vertical="top" wrapText="1"/>
    </xf>
    <xf numFmtId="0" fontId="32" fillId="0" borderId="0" xfId="0" applyFont="1" applyAlignment="1">
      <alignment vertical="top"/>
    </xf>
    <xf numFmtId="0" fontId="3" fillId="0" borderId="0" xfId="0" applyFont="1" applyAlignment="1">
      <alignment horizontal="centerContinuous"/>
    </xf>
    <xf numFmtId="0" fontId="2" fillId="0" borderId="0" xfId="0" applyFont="1" applyAlignment="1">
      <alignment horizontal="centerContinuous"/>
    </xf>
    <xf numFmtId="0" fontId="34" fillId="0" borderId="0" xfId="0" applyFont="1" applyAlignment="1">
      <alignment horizontal="center"/>
    </xf>
    <xf numFmtId="42" fontId="2" fillId="0" borderId="6" xfId="2" applyNumberFormat="1" applyFont="1" applyFill="1" applyBorder="1" applyAlignment="1">
      <alignment horizontal="center" vertical="center"/>
    </xf>
    <xf numFmtId="9" fontId="6" fillId="0" borderId="6" xfId="3" applyFont="1" applyFill="1" applyBorder="1" applyAlignment="1">
      <alignment vertical="center"/>
    </xf>
    <xf numFmtId="42" fontId="2" fillId="0" borderId="6" xfId="2" applyNumberFormat="1" applyFont="1" applyFill="1" applyBorder="1" applyAlignment="1">
      <alignment horizontal="center" vertical="center" wrapText="1"/>
    </xf>
    <xf numFmtId="0" fontId="2" fillId="0" borderId="6" xfId="0" applyFont="1" applyBorder="1"/>
    <xf numFmtId="0" fontId="2" fillId="3" borderId="6" xfId="0" applyFont="1" applyFill="1" applyBorder="1"/>
    <xf numFmtId="14" fontId="2" fillId="3" borderId="6" xfId="0" applyNumberFormat="1" applyFont="1" applyFill="1" applyBorder="1" applyAlignment="1">
      <alignment horizontal="left"/>
    </xf>
    <xf numFmtId="0" fontId="2" fillId="3" borderId="6" xfId="0" applyFont="1" applyFill="1" applyBorder="1" applyAlignment="1">
      <alignment wrapText="1"/>
    </xf>
    <xf numFmtId="0" fontId="2" fillId="0" borderId="6" xfId="0" applyFont="1" applyBorder="1" applyAlignment="1">
      <alignment horizontal="left"/>
    </xf>
    <xf numFmtId="166" fontId="2" fillId="3" borderId="6" xfId="0" applyNumberFormat="1" applyFont="1" applyFill="1" applyBorder="1" applyAlignment="1">
      <alignment horizontal="left"/>
    </xf>
    <xf numFmtId="10" fontId="2" fillId="3" borderId="6" xfId="0" applyNumberFormat="1" applyFont="1" applyFill="1" applyBorder="1" applyAlignment="1">
      <alignment horizontal="left"/>
    </xf>
    <xf numFmtId="10" fontId="2" fillId="0" borderId="6" xfId="0" applyNumberFormat="1" applyFont="1" applyBorder="1" applyAlignment="1">
      <alignment horizontal="left"/>
    </xf>
    <xf numFmtId="1" fontId="2" fillId="3" borderId="6" xfId="2" applyNumberFormat="1" applyFont="1" applyFill="1" applyBorder="1" applyAlignment="1">
      <alignment horizontal="left"/>
    </xf>
    <xf numFmtId="1" fontId="2" fillId="0" borderId="6" xfId="2" applyNumberFormat="1" applyFont="1" applyFill="1" applyBorder="1" applyAlignment="1">
      <alignment horizontal="left"/>
    </xf>
    <xf numFmtId="0" fontId="2" fillId="3" borderId="6" xfId="0" applyFont="1" applyFill="1" applyBorder="1" applyAlignment="1">
      <alignment horizontal="left"/>
    </xf>
    <xf numFmtId="0" fontId="35" fillId="0" borderId="0" xfId="0" applyFont="1" applyAlignment="1">
      <alignment vertical="top" wrapText="1"/>
    </xf>
    <xf numFmtId="0" fontId="36" fillId="0" borderId="0" xfId="0" applyFont="1" applyAlignment="1">
      <alignment vertical="top"/>
    </xf>
    <xf numFmtId="0" fontId="36" fillId="0" borderId="0" xfId="0" applyFont="1" applyAlignment="1">
      <alignment vertical="top" wrapText="1"/>
    </xf>
    <xf numFmtId="0" fontId="37" fillId="0" borderId="0" xfId="0" applyFont="1"/>
    <xf numFmtId="0" fontId="34" fillId="0" borderId="0" xfId="0" applyFont="1" applyAlignment="1">
      <alignment horizontal="center" vertical="top"/>
    </xf>
    <xf numFmtId="0" fontId="38" fillId="0" borderId="7" xfId="0" applyFont="1" applyBorder="1" applyAlignment="1">
      <alignment horizontal="centerContinuous" vertical="center"/>
    </xf>
    <xf numFmtId="0" fontId="2" fillId="0" borderId="7" xfId="0" applyFont="1" applyBorder="1" applyAlignment="1">
      <alignment horizontal="centerContinuous" vertical="center"/>
    </xf>
    <xf numFmtId="39" fontId="2" fillId="0" borderId="7" xfId="0" applyNumberFormat="1" applyFont="1" applyBorder="1" applyAlignment="1">
      <alignment horizontal="centerContinuous" vertical="center"/>
    </xf>
    <xf numFmtId="170" fontId="2" fillId="0" borderId="0" xfId="1" applyNumberFormat="1" applyFont="1" applyFill="1" applyBorder="1" applyAlignment="1">
      <alignment horizontal="center" vertical="center"/>
    </xf>
    <xf numFmtId="170" fontId="2" fillId="0" borderId="0" xfId="0" applyNumberFormat="1" applyFont="1" applyAlignment="1">
      <alignment horizontal="center" vertical="center"/>
    </xf>
    <xf numFmtId="170" fontId="6" fillId="0" borderId="0" xfId="0" applyNumberFormat="1" applyFont="1" applyAlignment="1">
      <alignment horizontal="center" vertical="center"/>
    </xf>
    <xf numFmtId="39" fontId="6" fillId="0" borderId="0" xfId="0" applyNumberFormat="1" applyFont="1" applyAlignment="1">
      <alignment horizontal="center" vertical="center"/>
    </xf>
    <xf numFmtId="0" fontId="6" fillId="0" borderId="0" xfId="0" applyFont="1" applyAlignment="1">
      <alignment horizontal="center" vertical="center"/>
    </xf>
    <xf numFmtId="170" fontId="7" fillId="3" borderId="0" xfId="1" applyNumberFormat="1" applyFont="1" applyFill="1" applyBorder="1" applyAlignment="1">
      <alignment vertical="center"/>
    </xf>
    <xf numFmtId="170" fontId="7" fillId="3" borderId="0" xfId="0" applyNumberFormat="1" applyFont="1" applyFill="1" applyAlignment="1">
      <alignment vertical="center"/>
    </xf>
    <xf numFmtId="37" fontId="6" fillId="0" borderId="0" xfId="0" applyNumberFormat="1" applyFont="1" applyAlignment="1">
      <alignment horizontal="center" vertical="center"/>
    </xf>
    <xf numFmtId="170" fontId="6" fillId="0" borderId="0" xfId="0" applyNumberFormat="1" applyFont="1" applyAlignment="1">
      <alignment vertical="center"/>
    </xf>
    <xf numFmtId="39" fontId="6" fillId="0" borderId="0" xfId="0" applyNumberFormat="1" applyFont="1" applyAlignment="1">
      <alignment vertical="center"/>
    </xf>
    <xf numFmtId="39" fontId="2" fillId="0" borderId="0" xfId="0" applyNumberFormat="1" applyFont="1" applyAlignment="1">
      <alignment vertical="center"/>
    </xf>
    <xf numFmtId="170" fontId="6" fillId="3" borderId="0" xfId="0" applyNumberFormat="1" applyFont="1" applyFill="1" applyAlignment="1">
      <alignment vertical="center"/>
    </xf>
    <xf numFmtId="39" fontId="2" fillId="3" borderId="0" xfId="0" applyNumberFormat="1" applyFont="1" applyFill="1" applyAlignment="1">
      <alignment vertical="center"/>
    </xf>
    <xf numFmtId="170" fontId="7" fillId="0" borderId="0" xfId="1" applyNumberFormat="1" applyFont="1" applyFill="1" applyBorder="1" applyAlignment="1">
      <alignment vertical="center"/>
    </xf>
    <xf numFmtId="39" fontId="7" fillId="0" borderId="0" xfId="1" applyNumberFormat="1" applyFont="1" applyFill="1" applyBorder="1" applyAlignment="1">
      <alignment vertical="center"/>
    </xf>
    <xf numFmtId="170" fontId="7" fillId="0" borderId="0" xfId="0" applyNumberFormat="1" applyFont="1" applyAlignment="1">
      <alignment vertical="center"/>
    </xf>
    <xf numFmtId="39" fontId="7" fillId="0" borderId="0" xfId="0" applyNumberFormat="1" applyFont="1" applyAlignment="1">
      <alignment vertical="center"/>
    </xf>
    <xf numFmtId="39" fontId="3" fillId="0" borderId="0" xfId="0" applyNumberFormat="1" applyFont="1" applyAlignment="1">
      <alignment vertical="center"/>
    </xf>
    <xf numFmtId="0" fontId="7" fillId="0" borderId="0" xfId="0" applyFont="1" applyAlignment="1">
      <alignment horizontal="right" vertical="center"/>
    </xf>
    <xf numFmtId="37" fontId="7" fillId="0" borderId="0" xfId="0" applyNumberFormat="1" applyFont="1" applyAlignment="1">
      <alignment horizontal="center" vertical="center"/>
    </xf>
    <xf numFmtId="37" fontId="7" fillId="0" borderId="0" xfId="1" applyNumberFormat="1" applyFont="1" applyFill="1" applyBorder="1" applyAlignment="1">
      <alignment horizontal="center" vertical="center"/>
    </xf>
    <xf numFmtId="0" fontId="40" fillId="0" borderId="0" xfId="0" applyFont="1" applyAlignment="1">
      <alignment horizontal="centerContinuous" vertical="top" wrapText="1"/>
    </xf>
    <xf numFmtId="0" fontId="41" fillId="0" borderId="0" xfId="0" applyFont="1" applyAlignment="1">
      <alignment horizontal="centerContinuous" vertical="center"/>
    </xf>
    <xf numFmtId="0" fontId="3" fillId="0" borderId="0" xfId="1" applyNumberFormat="1" applyFont="1" applyFill="1" applyBorder="1" applyAlignment="1">
      <alignment horizontal="left" vertical="center"/>
    </xf>
    <xf numFmtId="0" fontId="2" fillId="0" borderId="0" xfId="0" applyFont="1" applyAlignment="1">
      <alignment horizontal="left" vertical="center" indent="4"/>
    </xf>
    <xf numFmtId="0" fontId="28" fillId="0" borderId="0" xfId="0" applyFont="1" applyAlignment="1">
      <alignment vertical="center"/>
    </xf>
    <xf numFmtId="0" fontId="4" fillId="0" borderId="0" xfId="0" applyFont="1" applyAlignment="1">
      <alignment vertical="center"/>
    </xf>
    <xf numFmtId="0" fontId="9" fillId="0" borderId="0" xfId="0" applyFont="1"/>
    <xf numFmtId="0" fontId="2" fillId="0" borderId="0" xfId="0" applyFont="1" applyAlignment="1">
      <alignment horizontal="right" vertical="top" wrapText="1"/>
    </xf>
    <xf numFmtId="37" fontId="6" fillId="5" borderId="0" xfId="1" applyNumberFormat="1" applyFont="1" applyFill="1" applyBorder="1" applyAlignment="1">
      <alignment vertical="center"/>
    </xf>
    <xf numFmtId="0" fontId="6" fillId="5" borderId="0" xfId="0" applyFont="1" applyFill="1" applyAlignment="1">
      <alignment vertical="center"/>
    </xf>
    <xf numFmtId="37" fontId="44" fillId="5" borderId="0" xfId="1" applyNumberFormat="1" applyFont="1" applyFill="1" applyBorder="1" applyAlignment="1">
      <alignment vertical="center"/>
    </xf>
    <xf numFmtId="165" fontId="6" fillId="5" borderId="0" xfId="1" applyNumberFormat="1" applyFont="1" applyFill="1" applyBorder="1" applyAlignment="1">
      <alignment vertical="center"/>
    </xf>
    <xf numFmtId="0" fontId="45" fillId="0" borderId="0" xfId="0" applyFont="1" applyAlignment="1">
      <alignment vertical="top"/>
    </xf>
    <xf numFmtId="165" fontId="45" fillId="0" borderId="0" xfId="1" applyNumberFormat="1" applyFont="1" applyFill="1" applyBorder="1" applyAlignment="1">
      <alignment vertical="top"/>
    </xf>
    <xf numFmtId="0" fontId="46" fillId="0" borderId="0" xfId="0" applyFont="1" applyAlignment="1">
      <alignment vertical="center"/>
    </xf>
    <xf numFmtId="37" fontId="46" fillId="0" borderId="0" xfId="1" applyNumberFormat="1" applyFont="1" applyFill="1" applyBorder="1" applyAlignment="1">
      <alignment vertical="center"/>
    </xf>
    <xf numFmtId="165" fontId="46" fillId="0" borderId="0" xfId="1" applyNumberFormat="1" applyFont="1" applyFill="1" applyBorder="1" applyAlignment="1">
      <alignment vertical="center"/>
    </xf>
    <xf numFmtId="0" fontId="17" fillId="0" borderId="0" xfId="0" applyFont="1" applyAlignment="1">
      <alignment horizontal="left" vertical="top" wrapText="1" indent="2"/>
    </xf>
    <xf numFmtId="0" fontId="21" fillId="0" borderId="0" xfId="0" applyFont="1" applyAlignment="1">
      <alignment horizontal="left" vertical="top" wrapText="1" indent="2"/>
    </xf>
    <xf numFmtId="0" fontId="47" fillId="0" borderId="0" xfId="0" applyFont="1" applyAlignment="1">
      <alignment vertical="center"/>
    </xf>
    <xf numFmtId="0" fontId="47" fillId="0" borderId="0" xfId="0" applyFont="1"/>
    <xf numFmtId="0" fontId="48" fillId="0" borderId="0" xfId="0" applyFont="1" applyAlignment="1">
      <alignment vertical="center"/>
    </xf>
    <xf numFmtId="0" fontId="2" fillId="3" borderId="0" xfId="0" applyFont="1" applyFill="1"/>
    <xf numFmtId="0" fontId="49" fillId="0" borderId="0" xfId="0" applyFont="1" applyAlignment="1">
      <alignment vertical="center"/>
    </xf>
    <xf numFmtId="171" fontId="2" fillId="0" borderId="6" xfId="0" applyNumberFormat="1" applyFont="1" applyBorder="1" applyAlignment="1">
      <alignment horizontal="left"/>
    </xf>
    <xf numFmtId="0" fontId="32" fillId="0" borderId="0" xfId="0" applyFont="1" applyAlignment="1">
      <alignment horizontal="left" vertical="top" wrapText="1"/>
    </xf>
    <xf numFmtId="0" fontId="50" fillId="0" borderId="0" xfId="0" applyFont="1" applyAlignment="1">
      <alignment vertical="center"/>
    </xf>
    <xf numFmtId="0" fontId="4" fillId="0" borderId="0" xfId="0" applyFont="1" applyAlignment="1">
      <alignment horizontal="left" vertical="center"/>
    </xf>
    <xf numFmtId="0" fontId="51" fillId="0" borderId="0" xfId="0" applyFont="1" applyAlignment="1">
      <alignment vertical="center"/>
    </xf>
    <xf numFmtId="0" fontId="53" fillId="0" borderId="8" xfId="4" applyFont="1" applyBorder="1" applyAlignment="1">
      <alignment horizontal="left" vertical="top"/>
    </xf>
    <xf numFmtId="0" fontId="53" fillId="0" borderId="10" xfId="4" applyFont="1" applyBorder="1" applyAlignment="1">
      <alignment horizontal="left" vertical="top"/>
    </xf>
    <xf numFmtId="0" fontId="53" fillId="0" borderId="9" xfId="4" applyFont="1" applyBorder="1" applyAlignment="1">
      <alignment horizontal="center" vertical="top"/>
    </xf>
    <xf numFmtId="0" fontId="53" fillId="0" borderId="9" xfId="4" applyFont="1" applyBorder="1" applyAlignment="1">
      <alignment horizontal="centerContinuous" vertical="top"/>
    </xf>
    <xf numFmtId="14" fontId="54" fillId="0" borderId="0" xfId="0" applyNumberFormat="1" applyFont="1" applyAlignment="1">
      <alignment horizontal="left" vertical="top" wrapText="1"/>
    </xf>
    <xf numFmtId="37" fontId="6" fillId="3" borderId="0" xfId="1" applyNumberFormat="1" applyFont="1" applyFill="1" applyBorder="1" applyAlignment="1">
      <alignment horizontal="left" vertical="center"/>
    </xf>
    <xf numFmtId="0" fontId="32" fillId="0" borderId="0" xfId="0" applyFont="1" applyAlignment="1">
      <alignment horizontal="left" vertical="top" wrapText="1"/>
    </xf>
    <xf numFmtId="0" fontId="2" fillId="0" borderId="0" xfId="0" applyFont="1" applyAlignment="1">
      <alignment vertical="center" wrapText="1"/>
    </xf>
    <xf numFmtId="0" fontId="0" fillId="0" borderId="0" xfId="0" applyAlignment="1">
      <alignment vertical="center" wrapText="1"/>
    </xf>
  </cellXfs>
  <cellStyles count="5">
    <cellStyle name="Comma" xfId="1" builtinId="3"/>
    <cellStyle name="Currency" xfId="2" builtinId="4"/>
    <cellStyle name="Normal" xfId="0" builtinId="0"/>
    <cellStyle name="Normal 2" xfId="4" xr:uid="{CDA2E6CB-4675-4D94-9BEB-4E886213C431}"/>
    <cellStyle name="Percent" xfId="3" builtinId="5"/>
  </cellStyles>
  <dxfs count="96">
    <dxf>
      <font>
        <b val="0"/>
        <i val="0"/>
        <strike val="0"/>
        <condense val="0"/>
        <extend val="0"/>
        <outline val="0"/>
        <shadow val="0"/>
        <u val="none"/>
        <vertAlign val="baseline"/>
        <sz val="10"/>
        <color theme="1"/>
        <name val="Arial"/>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minor"/>
      </font>
      <alignment horizontal="general" vertical="top" textRotation="0" wrapText="0" indent="0" justifyLastLine="0" shrinkToFit="0" readingOrder="0"/>
    </dxf>
    <dxf>
      <font>
        <b val="0"/>
        <i val="0"/>
        <strike val="0"/>
        <condense val="0"/>
        <extend val="0"/>
        <outline val="0"/>
        <shadow val="0"/>
        <u val="none"/>
        <vertAlign val="baseline"/>
        <sz val="10"/>
        <color theme="1"/>
        <name val="Arial"/>
        <scheme val="none"/>
      </font>
      <numFmt numFmtId="19" formatCode="m/d/yyyy"/>
      <alignment horizontal="left" vertical="top" textRotation="0" wrapText="1" indent="0" justifyLastLine="0" shrinkToFit="0" readingOrder="0"/>
    </dxf>
    <dxf>
      <font>
        <b val="0"/>
        <i val="0"/>
        <strike val="0"/>
        <condense val="0"/>
        <extend val="0"/>
        <outline val="0"/>
        <shadow val="0"/>
        <u val="none"/>
        <vertAlign val="baseline"/>
        <sz val="10"/>
        <color rgb="FF222222"/>
        <name val="Arial"/>
        <family val="2"/>
        <scheme val="none"/>
      </font>
      <alignment horizontal="left" vertical="top" textRotation="0" wrapText="0" indent="0" justifyLastLine="0" shrinkToFit="0" readingOrder="0"/>
      <border diagonalUp="0" diagonalDown="0">
        <left style="medium">
          <color rgb="FFE2E2E2"/>
        </left>
        <right style="medium">
          <color rgb="FFE2E2E2"/>
        </right>
        <top/>
        <bottom style="medium">
          <color rgb="FFE2E2E2"/>
        </bottom>
        <vertical/>
        <horizontal/>
      </border>
    </dxf>
    <dxf>
      <font>
        <b val="0"/>
        <i val="0"/>
        <strike val="0"/>
        <condense val="0"/>
        <extend val="0"/>
        <outline val="0"/>
        <shadow val="0"/>
        <u val="none"/>
        <vertAlign val="baseline"/>
        <sz val="10"/>
        <color rgb="FF222222"/>
        <name val="Arial"/>
        <family val="2"/>
        <scheme val="none"/>
      </font>
      <alignment horizontal="left" vertical="top" textRotation="0" wrapText="0" indent="0" justifyLastLine="0" shrinkToFit="0" readingOrder="0"/>
      <border diagonalUp="0" diagonalDown="0">
        <left style="medium">
          <color rgb="FFE2E2E2"/>
        </left>
        <right style="medium">
          <color rgb="FFE2E2E2"/>
        </right>
        <top/>
        <bottom style="medium">
          <color rgb="FFE2E2E2"/>
        </bottom>
        <vertical/>
        <horizontal/>
      </border>
    </dxf>
    <dxf>
      <font>
        <b val="0"/>
        <i val="0"/>
        <strike val="0"/>
        <condense val="0"/>
        <extend val="0"/>
        <outline val="0"/>
        <shadow val="0"/>
        <u val="none"/>
        <vertAlign val="baseline"/>
        <sz val="10"/>
        <color rgb="FF222222"/>
        <name val="Arial"/>
        <family val="2"/>
        <scheme val="none"/>
      </font>
      <alignment horizontal="left" vertical="top" textRotation="0" wrapText="0" indent="0" justifyLastLine="0" shrinkToFit="0" readingOrder="0"/>
      <border diagonalUp="0" diagonalDown="0">
        <left style="medium">
          <color rgb="FFE2E2E2"/>
        </left>
        <right style="medium">
          <color rgb="FFE2E2E2"/>
        </right>
        <top/>
        <bottom style="medium">
          <color rgb="FFE2E2E2"/>
        </bottom>
        <vertical/>
        <horizontal/>
      </border>
    </dxf>
    <dxf>
      <border outline="0">
        <bottom style="medium">
          <color rgb="FFE2E2E2"/>
        </bottom>
      </border>
    </dxf>
    <dxf>
      <font>
        <b val="0"/>
        <i val="0"/>
        <strike val="0"/>
        <condense val="0"/>
        <extend val="0"/>
        <outline val="0"/>
        <shadow val="0"/>
        <u val="none"/>
        <vertAlign val="baseline"/>
        <sz val="10"/>
        <color rgb="FF222222"/>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rgb="FF222222"/>
        <name val="Arial"/>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medium">
          <color rgb="FFC0C0C0"/>
        </left>
        <right style="medium">
          <color rgb="FFC0C0C0"/>
        </right>
        <top/>
        <bottom/>
      </border>
    </dxf>
    <dxf>
      <font>
        <b val="0"/>
        <i val="0"/>
        <strike val="0"/>
        <condense val="0"/>
        <extend val="0"/>
        <outline val="0"/>
        <shadow val="0"/>
        <u val="none"/>
        <vertAlign val="baseline"/>
        <sz val="10"/>
        <color theme="4"/>
        <name val="Arial"/>
        <scheme val="minor"/>
      </font>
      <numFmt numFmtId="165" formatCode="_(* #,##0_);_(* \(#,##0\);_(* &quot;-&quot;??_);_(@_)"/>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theme="4"/>
        <name val="Arial"/>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theme="4"/>
        <name val="Arial"/>
        <scheme val="minor"/>
      </font>
      <numFmt numFmtId="0" formatCode="General"/>
      <fill>
        <patternFill patternType="solid">
          <fgColor indexed="64"/>
          <bgColor theme="8"/>
        </patternFill>
      </fill>
      <alignment horizontal="center" vertical="top" textRotation="0" wrapText="0" indent="0" justifyLastLine="0" shrinkToFit="0" readingOrder="0"/>
    </dxf>
    <dxf>
      <font>
        <b val="0"/>
        <i val="0"/>
        <strike val="0"/>
        <condense val="0"/>
        <extend val="0"/>
        <outline val="0"/>
        <shadow val="0"/>
        <u val="none"/>
        <vertAlign val="baseline"/>
        <sz val="9"/>
        <color theme="1"/>
        <name val="Arial"/>
        <scheme val="minor"/>
      </font>
      <fill>
        <patternFill patternType="none">
          <fgColor indexed="64"/>
          <bgColor indexed="65"/>
        </patternFill>
      </fill>
      <alignment horizontal="general" vertical="top" textRotation="0" wrapText="1" indent="0" justifyLastLine="0" shrinkToFit="0" readingOrder="0"/>
    </dxf>
    <dxf>
      <font>
        <color theme="1" tint="0.39994506668294322"/>
      </font>
    </dxf>
    <dxf>
      <font>
        <b val="0"/>
        <i/>
        <color theme="1" tint="0.39982299264503923"/>
      </font>
    </dxf>
    <dxf>
      <font>
        <b/>
        <i val="0"/>
      </font>
    </dxf>
    <dxf>
      <font>
        <b val="0"/>
        <i val="0"/>
        <color theme="1" tint="0.39994506668294322"/>
      </font>
    </dxf>
    <dxf>
      <font>
        <color theme="1" tint="0.39994506668294322"/>
      </font>
    </dxf>
    <dxf>
      <font>
        <b val="0"/>
        <i/>
        <color theme="1" tint="0.39982299264503923"/>
      </font>
    </dxf>
    <dxf>
      <font>
        <b/>
        <i val="0"/>
      </font>
    </dxf>
    <dxf>
      <font>
        <color theme="1" tint="0.39994506668294322"/>
      </font>
    </dxf>
    <dxf>
      <font>
        <color theme="1" tint="0.39994506668294322"/>
      </font>
    </dxf>
    <dxf>
      <font>
        <color theme="1" tint="0.39994506668294322"/>
      </font>
    </dxf>
    <dxf>
      <font>
        <b val="0"/>
        <i val="0"/>
        <color theme="1" tint="0.39994506668294322"/>
      </font>
    </dxf>
    <dxf>
      <font>
        <b val="0"/>
        <i val="0"/>
        <color theme="1" tint="0.39994506668294322"/>
      </font>
    </dxf>
    <dxf>
      <font>
        <b val="0"/>
        <i val="0"/>
        <color theme="1" tint="0.39994506668294322"/>
      </font>
    </dxf>
    <dxf>
      <font>
        <b val="0"/>
        <i val="0"/>
        <color theme="1" tint="0.39994506668294322"/>
      </font>
    </dxf>
    <dxf>
      <font>
        <b val="0"/>
        <i val="0"/>
        <color theme="1" tint="0.39994506668294322"/>
      </font>
    </dxf>
    <dxf>
      <font>
        <b val="0"/>
        <i val="0"/>
        <color theme="1" tint="0.39994506668294322"/>
      </font>
    </dxf>
    <dxf>
      <font>
        <b val="0"/>
        <i val="0"/>
        <color theme="1" tint="0.39994506668294322"/>
      </font>
    </dxf>
    <dxf>
      <font>
        <b val="0"/>
        <i val="0"/>
        <color theme="1" tint="0.39994506668294322"/>
      </font>
    </dxf>
    <dxf>
      <font>
        <color theme="1" tint="0.39994506668294322"/>
      </font>
    </dxf>
    <dxf>
      <font>
        <b val="0"/>
        <i val="0"/>
        <color theme="1" tint="0.39994506668294322"/>
      </font>
    </dxf>
    <dxf>
      <font>
        <b val="0"/>
        <i val="0"/>
        <color theme="1" tint="0.39994506668294322"/>
      </font>
    </dxf>
    <dxf>
      <font>
        <color theme="1" tint="0.39994506668294322"/>
      </font>
    </dxf>
    <dxf>
      <font>
        <color theme="1" tint="0.39994506668294322"/>
      </font>
    </dxf>
    <dxf>
      <font>
        <b val="0"/>
        <i val="0"/>
        <color theme="1" tint="0.39994506668294322"/>
      </font>
    </dxf>
    <dxf>
      <font>
        <color theme="1" tint="0.39994506668294322"/>
      </font>
    </dxf>
    <dxf>
      <font>
        <color theme="1" tint="0.39994506668294322"/>
      </font>
    </dxf>
    <dxf>
      <font>
        <b val="0"/>
        <i val="0"/>
        <color theme="1" tint="0.39994506668294322"/>
      </font>
    </dxf>
    <dxf>
      <font>
        <b val="0"/>
        <i val="0"/>
        <color theme="1" tint="0.39994506668294322"/>
      </font>
    </dxf>
    <dxf>
      <font>
        <b val="0"/>
        <i/>
        <color theme="1" tint="0.39982299264503923"/>
      </font>
    </dxf>
    <dxf>
      <font>
        <b/>
        <i val="0"/>
      </font>
    </dxf>
    <dxf>
      <font>
        <b val="0"/>
        <i/>
        <color theme="1" tint="0.39982299264503923"/>
      </font>
    </dxf>
    <dxf>
      <font>
        <b/>
        <i val="0"/>
      </font>
    </dxf>
    <dxf>
      <font>
        <b val="0"/>
        <i/>
        <color theme="1" tint="0.39982299264503923"/>
      </font>
    </dxf>
    <dxf>
      <font>
        <b/>
        <i val="0"/>
      </font>
    </dxf>
    <dxf>
      <font>
        <b val="0"/>
        <i/>
        <color theme="1" tint="0.39982299264503923"/>
      </font>
    </dxf>
    <dxf>
      <font>
        <b/>
        <i val="0"/>
      </font>
    </dxf>
    <dxf>
      <font>
        <color theme="1" tint="0.39994506668294322"/>
      </font>
    </dxf>
    <dxf>
      <font>
        <b val="0"/>
        <i/>
        <color theme="1" tint="0.39982299264503923"/>
      </font>
    </dxf>
    <dxf>
      <font>
        <b/>
        <i val="0"/>
      </font>
    </dxf>
    <dxf>
      <font>
        <color theme="1" tint="0.39994506668294322"/>
      </font>
    </dxf>
    <dxf>
      <font>
        <color theme="1" tint="0.39994506668294322"/>
      </font>
    </dxf>
    <dxf>
      <font>
        <b val="0"/>
        <i val="0"/>
        <color theme="1" tint="0.39994506668294322"/>
      </font>
    </dxf>
    <dxf>
      <font>
        <b val="0"/>
        <i/>
        <color theme="1" tint="0.39982299264503923"/>
      </font>
    </dxf>
    <dxf>
      <font>
        <b/>
        <i val="0"/>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color theme="0"/>
      </font>
      <fill>
        <patternFill>
          <bgColor theme="7"/>
        </patternFill>
      </fill>
    </dxf>
    <dxf>
      <font>
        <b val="0"/>
        <i val="0"/>
        <color theme="1" tint="0.39979247413556324"/>
      </font>
    </dxf>
    <dxf>
      <font>
        <b val="0"/>
        <i val="0"/>
        <color theme="1" tint="0.39979247413556324"/>
      </font>
    </dxf>
    <dxf>
      <font>
        <b/>
        <i val="0"/>
        <color theme="0"/>
      </font>
      <fill>
        <patternFill>
          <bgColor theme="7"/>
        </patternFill>
      </fill>
    </dxf>
    <dxf>
      <fill>
        <patternFill>
          <bgColor theme="7"/>
        </patternFill>
      </fill>
    </dxf>
    <dxf>
      <font>
        <b val="0"/>
        <i val="0"/>
        <color theme="1" tint="0.39979247413556324"/>
      </font>
    </dxf>
    <dxf>
      <fill>
        <patternFill>
          <bgColor theme="7"/>
        </patternFill>
      </fill>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color theme="0"/>
      </font>
      <fill>
        <patternFill>
          <bgColor theme="7"/>
        </patternFill>
      </fill>
    </dxf>
    <dxf>
      <font>
        <color theme="0"/>
      </font>
      <fill>
        <patternFill>
          <bgColor theme="7"/>
        </patternFill>
      </fill>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color theme="0"/>
      </font>
      <fill>
        <patternFill>
          <bgColor theme="7"/>
        </patternFill>
      </fill>
    </dxf>
    <dxf>
      <font>
        <color theme="0"/>
      </font>
      <fill>
        <patternFill>
          <bgColor theme="7"/>
        </patternFill>
      </fill>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b val="0"/>
        <i val="0"/>
        <color theme="1" tint="0.39979247413556324"/>
      </font>
    </dxf>
    <dxf>
      <font>
        <color theme="1" tint="0.39994506668294322"/>
      </font>
    </dxf>
    <dxf>
      <font>
        <b val="0"/>
        <i val="0"/>
        <color theme="1" tint="0.39994506668294322"/>
      </font>
    </dxf>
    <dxf>
      <fill>
        <patternFill>
          <bgColor theme="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27</xdr:row>
      <xdr:rowOff>19050</xdr:rowOff>
    </xdr:from>
    <xdr:to>
      <xdr:col>1</xdr:col>
      <xdr:colOff>4419051</xdr:colOff>
      <xdr:row>28</xdr:row>
      <xdr:rowOff>133315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1925" y="7543800"/>
          <a:ext cx="4390476" cy="2761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581025</xdr:colOff>
          <xdr:row>4</xdr:row>
          <xdr:rowOff>38100</xdr:rowOff>
        </xdr:from>
        <xdr:to>
          <xdr:col>10</xdr:col>
          <xdr:colOff>123825</xdr:colOff>
          <xdr:row>6</xdr:row>
          <xdr:rowOff>57150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100-00001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Print (No Rate Sch., Std.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581025</xdr:colOff>
          <xdr:row>7</xdr:row>
          <xdr:rowOff>19050</xdr:rowOff>
        </xdr:from>
        <xdr:to>
          <xdr:col>10</xdr:col>
          <xdr:colOff>123825</xdr:colOff>
          <xdr:row>9</xdr:row>
          <xdr:rowOff>38100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Print (Rate Sch., Std.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12</xdr:row>
          <xdr:rowOff>28575</xdr:rowOff>
        </xdr:from>
        <xdr:to>
          <xdr:col>14</xdr:col>
          <xdr:colOff>123825</xdr:colOff>
          <xdr:row>15</xdr:row>
          <xdr:rowOff>133350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Show Design Phase on Task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571500</xdr:colOff>
          <xdr:row>12</xdr:row>
          <xdr:rowOff>28575</xdr:rowOff>
        </xdr:from>
        <xdr:to>
          <xdr:col>10</xdr:col>
          <xdr:colOff>114300</xdr:colOff>
          <xdr:row>15</xdr:row>
          <xdr:rowOff>133350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100-00001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Hide Design Phase on Task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590550</xdr:colOff>
          <xdr:row>16</xdr:row>
          <xdr:rowOff>85725</xdr:rowOff>
        </xdr:from>
        <xdr:to>
          <xdr:col>10</xdr:col>
          <xdr:colOff>133350</xdr:colOff>
          <xdr:row>20</xdr:row>
          <xdr:rowOff>28575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100-00002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Hide Rows with Zero Fee</a:t>
              </a:r>
            </a:p>
            <a:p>
              <a:pPr algn="ctr" rtl="0">
                <a:defRPr sz="1000"/>
              </a:pPr>
              <a:r>
                <a:rPr lang="en-US" sz="1100" b="0" i="0" u="none" strike="noStrike" baseline="0">
                  <a:solidFill>
                    <a:srgbClr val="3F3F3F"/>
                  </a:solidFill>
                  <a:latin typeface="Arial"/>
                  <a:cs typeface="Arial"/>
                </a:rPr>
                <a:t> on Task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590550</xdr:colOff>
          <xdr:row>20</xdr:row>
          <xdr:rowOff>142875</xdr:rowOff>
        </xdr:from>
        <xdr:to>
          <xdr:col>10</xdr:col>
          <xdr:colOff>133350</xdr:colOff>
          <xdr:row>24</xdr:row>
          <xdr:rowOff>85725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100-00002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Hide Rows with Zero Fee </a:t>
              </a:r>
            </a:p>
            <a:p>
              <a:pPr algn="ctr" rtl="0">
                <a:defRPr sz="1000"/>
              </a:pPr>
              <a:r>
                <a:rPr lang="en-US" sz="1100" b="0" i="0" u="none" strike="noStrike" baseline="0">
                  <a:solidFill>
                    <a:srgbClr val="3F3F3F"/>
                  </a:solidFill>
                  <a:latin typeface="Arial"/>
                  <a:cs typeface="Arial"/>
                </a:rPr>
                <a:t>on Task Descriptions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200025</xdr:colOff>
          <xdr:row>16</xdr:row>
          <xdr:rowOff>66675</xdr:rowOff>
        </xdr:from>
        <xdr:to>
          <xdr:col>14</xdr:col>
          <xdr:colOff>114300</xdr:colOff>
          <xdr:row>20</xdr:row>
          <xdr:rowOff>9525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100-00002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Show Rows with Zero Fee</a:t>
              </a:r>
            </a:p>
            <a:p>
              <a:pPr algn="ctr" rtl="0">
                <a:defRPr sz="1000"/>
              </a:pPr>
              <a:r>
                <a:rPr lang="en-US" sz="1100" b="0" i="0" u="none" strike="noStrike" baseline="0">
                  <a:solidFill>
                    <a:srgbClr val="3F3F3F"/>
                  </a:solidFill>
                  <a:latin typeface="Arial"/>
                  <a:cs typeface="Arial"/>
                </a:rPr>
                <a:t> on Task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20</xdr:row>
          <xdr:rowOff>133350</xdr:rowOff>
        </xdr:from>
        <xdr:to>
          <xdr:col>14</xdr:col>
          <xdr:colOff>123825</xdr:colOff>
          <xdr:row>24</xdr:row>
          <xdr:rowOff>76200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100-00002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Show Rows with Zero Fee</a:t>
              </a:r>
            </a:p>
            <a:p>
              <a:pPr algn="ctr" rtl="0">
                <a:defRPr sz="1000"/>
              </a:pPr>
              <a:r>
                <a:rPr lang="en-US" sz="1100" b="0" i="0" u="none" strike="noStrike" baseline="0">
                  <a:solidFill>
                    <a:srgbClr val="3F3F3F"/>
                  </a:solidFill>
                  <a:latin typeface="Arial"/>
                  <a:cs typeface="Arial"/>
                </a:rPr>
                <a:t> on Task Descriptions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4</xdr:row>
          <xdr:rowOff>38100</xdr:rowOff>
        </xdr:from>
        <xdr:to>
          <xdr:col>14</xdr:col>
          <xdr:colOff>123825</xdr:colOff>
          <xdr:row>6</xdr:row>
          <xdr:rowOff>57150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Print (No Rate Sch., No Std.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7</xdr:row>
          <xdr:rowOff>19050</xdr:rowOff>
        </xdr:from>
        <xdr:to>
          <xdr:col>14</xdr:col>
          <xdr:colOff>123825</xdr:colOff>
          <xdr:row>9</xdr:row>
          <xdr:rowOff>38100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Print (Rate Sch., No Std.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1</xdr:row>
          <xdr:rowOff>247650</xdr:rowOff>
        </xdr:from>
        <xdr:to>
          <xdr:col>11</xdr:col>
          <xdr:colOff>676275</xdr:colOff>
          <xdr:row>2</xdr:row>
          <xdr:rowOff>142875</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3F3F3F"/>
                  </a:solidFill>
                  <a:latin typeface="Arial"/>
                  <a:cs typeface="Arial"/>
                </a:rPr>
                <a:t>Spell Check Agreement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184150</xdr:colOff>
      <xdr:row>28</xdr:row>
      <xdr:rowOff>117477</xdr:rowOff>
    </xdr:from>
    <xdr:to>
      <xdr:col>0</xdr:col>
      <xdr:colOff>4669014</xdr:colOff>
      <xdr:row>45</xdr:row>
      <xdr:rowOff>127000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
        <a:stretch>
          <a:fillRect/>
        </a:stretch>
      </xdr:blipFill>
      <xdr:spPr>
        <a:xfrm>
          <a:off x="184150" y="5934077"/>
          <a:ext cx="4484864" cy="2708273"/>
        </a:xfrm>
        <a:prstGeom prst="rect">
          <a:avLst/>
        </a:prstGeom>
        <a:solidFill>
          <a:schemeClr val="accent5"/>
        </a:solidFill>
        <a:ln w="38100" cap="rnd">
          <a:solidFill>
            <a:schemeClr val="accent1"/>
          </a:solidFill>
          <a:round/>
        </a:ln>
      </xdr:spPr>
    </xdr:pic>
    <xdr:clientData/>
  </xdr:twoCellAnchor>
  <xdr:twoCellAnchor>
    <xdr:from>
      <xdr:col>1</xdr:col>
      <xdr:colOff>266700</xdr:colOff>
      <xdr:row>15</xdr:row>
      <xdr:rowOff>152400</xdr:rowOff>
    </xdr:from>
    <xdr:to>
      <xdr:col>1</xdr:col>
      <xdr:colOff>638175</xdr:colOff>
      <xdr:row>24</xdr:row>
      <xdr:rowOff>57150</xdr:rowOff>
    </xdr:to>
    <xdr:sp macro="" textlink="">
      <xdr:nvSpPr>
        <xdr:cNvPr id="6" name="Right Brace 5">
          <a:extLst>
            <a:ext uri="{FF2B5EF4-FFF2-40B4-BE49-F238E27FC236}">
              <a16:creationId xmlns:a16="http://schemas.microsoft.com/office/drawing/2014/main" id="{00000000-0008-0000-0200-000006000000}"/>
            </a:ext>
          </a:extLst>
        </xdr:cNvPr>
        <xdr:cNvSpPr/>
      </xdr:nvSpPr>
      <xdr:spPr>
        <a:xfrm>
          <a:off x="7553325" y="2762250"/>
          <a:ext cx="371475" cy="1885950"/>
        </a:xfrm>
        <a:prstGeom prst="rightBrace">
          <a:avLst/>
        </a:prstGeom>
        <a:ln w="381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xdr:twoCellAnchor>
    <xdr:from>
      <xdr:col>2</xdr:col>
      <xdr:colOff>19051</xdr:colOff>
      <xdr:row>14</xdr:row>
      <xdr:rowOff>200025</xdr:rowOff>
    </xdr:from>
    <xdr:to>
      <xdr:col>9</xdr:col>
      <xdr:colOff>152400</xdr:colOff>
      <xdr:row>29</xdr:row>
      <xdr:rowOff>76200</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7991476" y="2305050"/>
          <a:ext cx="4933949" cy="2886075"/>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400" b="1">
              <a:solidFill>
                <a:sysClr val="windowText" lastClr="000000"/>
              </a:solidFill>
              <a:effectLst/>
              <a:latin typeface="+mn-lt"/>
              <a:ea typeface="+mn-ea"/>
              <a:cs typeface="+mn-cs"/>
            </a:rPr>
            <a:t>Project Understanding</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User to insert important information to clarify what KH is doing, who we are doing it for, etc.   This section is not a preview of our scope and should not include scope descriptions.  Think of this section as describing the "who's who" of the assignment and a brief summary of the point of our proposal.  This section often includes items like:</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effectLst/>
            </a:rPr>
            <a:t>Site street intersection  / city / county / site acreage - clearly describe project limits.</a:t>
          </a:r>
        </a:p>
        <a:p>
          <a:pPr marL="0" marR="0" indent="0" algn="l"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effectLst/>
            </a:rPr>
            <a:t>Project type - "The client desires to develop a new multi-family project."</a:t>
          </a:r>
        </a:p>
        <a:p>
          <a:pPr marL="0" marR="0" indent="0" algn="l"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effectLst/>
            </a:rPr>
            <a:t>Number of units, building square footage, other building details.</a:t>
          </a: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Any special relationships, e.g. - The client has hired Architect X as the design team lead and Lawyer Y as the entitlement lead.</a:t>
          </a: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Any special engineering or site assumptions and notes will be customized in the "NOTES" tab.</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104775</xdr:colOff>
      <xdr:row>1</xdr:row>
      <xdr:rowOff>19050</xdr:rowOff>
    </xdr:from>
    <xdr:to>
      <xdr:col>1</xdr:col>
      <xdr:colOff>245745</xdr:colOff>
      <xdr:row>1</xdr:row>
      <xdr:rowOff>149352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28600" y="219075"/>
          <a:ext cx="137160" cy="13030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419100</xdr:colOff>
      <xdr:row>11</xdr:row>
      <xdr:rowOff>914400</xdr:rowOff>
    </xdr:from>
    <xdr:to>
      <xdr:col>9</xdr:col>
      <xdr:colOff>552449</xdr:colOff>
      <xdr:row>13</xdr:row>
      <xdr:rowOff>285750</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6000750" y="4362450"/>
          <a:ext cx="4933949" cy="1476375"/>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Most</a:t>
          </a:r>
          <a:r>
            <a:rPr lang="en-US" sz="1100" baseline="0">
              <a:solidFill>
                <a:sysClr val="windowText" lastClr="000000"/>
              </a:solidFill>
              <a:effectLst/>
              <a:latin typeface="+mn-lt"/>
              <a:ea typeface="+mn-ea"/>
              <a:cs typeface="+mn-cs"/>
            </a:rPr>
            <a:t> of the time you can leave the "For all projects" notes as-is and include them, but read them to make sure they are applicable.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aseline="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"For all projects" note 1 is what we should use as </a:t>
          </a:r>
          <a:r>
            <a:rPr lang="en-US" sz="1100">
              <a:solidFill>
                <a:sysClr val="windowText" lastClr="000000"/>
              </a:solidFill>
              <a:effectLst/>
              <a:latin typeface="+mn-lt"/>
              <a:ea typeface="+mn-ea"/>
              <a:cs typeface="+mn-cs"/>
            </a:rPr>
            <a:t>our 'starting point' with regards to whether responding to jurisdictional review comments is included in our base fee or not.  This is also where you would insert compromise language, like "Fees are to perform each task one time and include response to one round of review comments."  </a:t>
          </a:r>
          <a:endParaRPr lang="en-US" sz="1100">
            <a:solidFill>
              <a:sysClr val="windowText" lastClr="000000"/>
            </a:solidFill>
          </a:endParaRPr>
        </a:p>
      </xdr:txBody>
    </xdr:sp>
    <xdr:clientData fPrintsWithSheet="0"/>
  </xdr:twoCellAnchor>
  <xdr:twoCellAnchor>
    <xdr:from>
      <xdr:col>2</xdr:col>
      <xdr:colOff>676275</xdr:colOff>
      <xdr:row>29</xdr:row>
      <xdr:rowOff>38100</xdr:rowOff>
    </xdr:from>
    <xdr:to>
      <xdr:col>10</xdr:col>
      <xdr:colOff>123824</xdr:colOff>
      <xdr:row>32</xdr:row>
      <xdr:rowOff>19050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6257925" y="12992100"/>
          <a:ext cx="4933949" cy="952500"/>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endParaRPr lang="en-US" sz="1100" baseline="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Take out notes that are clearly not applicable to your project. </a:t>
          </a: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These sample notes are a good reminder for common issues to check on.  Add other project</a:t>
          </a:r>
          <a:r>
            <a:rPr lang="en-US" sz="1100" baseline="0">
              <a:solidFill>
                <a:sysClr val="windowText" lastClr="000000"/>
              </a:solidFill>
              <a:effectLst/>
              <a:latin typeface="+mn-lt"/>
              <a:ea typeface="+mn-ea"/>
              <a:cs typeface="+mn-cs"/>
            </a:rPr>
            <a:t> specific notes as necessary. </a:t>
          </a:r>
          <a:endParaRPr lang="en-US" sz="1100">
            <a:solidFill>
              <a:sysClr val="windowText" lastClr="000000"/>
            </a:solidFill>
          </a:endParaRPr>
        </a:p>
      </xdr:txBody>
    </xdr:sp>
    <xdr:clientData fPrintsWithSheet="0"/>
  </xdr:twoCellAnchor>
  <xdr:twoCellAnchor>
    <xdr:from>
      <xdr:col>2</xdr:col>
      <xdr:colOff>247650</xdr:colOff>
      <xdr:row>22</xdr:row>
      <xdr:rowOff>19049</xdr:rowOff>
    </xdr:from>
    <xdr:to>
      <xdr:col>2</xdr:col>
      <xdr:colOff>619125</xdr:colOff>
      <xdr:row>34</xdr:row>
      <xdr:rowOff>161924</xdr:rowOff>
    </xdr:to>
    <xdr:sp macro="" textlink="">
      <xdr:nvSpPr>
        <xdr:cNvPr id="5" name="Right Brace 4">
          <a:extLst>
            <a:ext uri="{FF2B5EF4-FFF2-40B4-BE49-F238E27FC236}">
              <a16:creationId xmlns:a16="http://schemas.microsoft.com/office/drawing/2014/main" id="{00000000-0008-0000-0400-000005000000}"/>
            </a:ext>
          </a:extLst>
        </xdr:cNvPr>
        <xdr:cNvSpPr/>
      </xdr:nvSpPr>
      <xdr:spPr>
        <a:xfrm>
          <a:off x="5829300" y="7515224"/>
          <a:ext cx="371475" cy="6181725"/>
        </a:xfrm>
        <a:prstGeom prst="rightBrace">
          <a:avLst/>
        </a:prstGeom>
        <a:ln w="381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xdr:twoCellAnchor>
    <xdr:from>
      <xdr:col>2</xdr:col>
      <xdr:colOff>1</xdr:colOff>
      <xdr:row>2</xdr:row>
      <xdr:rowOff>104775</xdr:rowOff>
    </xdr:from>
    <xdr:to>
      <xdr:col>2</xdr:col>
      <xdr:colOff>352425</xdr:colOff>
      <xdr:row>18</xdr:row>
      <xdr:rowOff>895350</xdr:rowOff>
    </xdr:to>
    <xdr:sp macro="" textlink="">
      <xdr:nvSpPr>
        <xdr:cNvPr id="6" name="Right Brace 5">
          <a:extLst>
            <a:ext uri="{FF2B5EF4-FFF2-40B4-BE49-F238E27FC236}">
              <a16:creationId xmlns:a16="http://schemas.microsoft.com/office/drawing/2014/main" id="{00000000-0008-0000-0400-000006000000}"/>
            </a:ext>
          </a:extLst>
        </xdr:cNvPr>
        <xdr:cNvSpPr/>
      </xdr:nvSpPr>
      <xdr:spPr>
        <a:xfrm>
          <a:off x="5753101" y="466725"/>
          <a:ext cx="352424" cy="9515475"/>
        </a:xfrm>
        <a:prstGeom prst="rightBrace">
          <a:avLst/>
        </a:prstGeom>
        <a:ln w="381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5</xdr:col>
      <xdr:colOff>131884</xdr:colOff>
      <xdr:row>0</xdr:row>
      <xdr:rowOff>61546</xdr:rowOff>
    </xdr:from>
    <xdr:to>
      <xdr:col>8</xdr:col>
      <xdr:colOff>272855</xdr:colOff>
      <xdr:row>9</xdr:row>
      <xdr:rowOff>225376</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9378461" y="61546"/>
          <a:ext cx="2207163" cy="4288888"/>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400" b="1">
              <a:solidFill>
                <a:sysClr val="windowText" lastClr="000000"/>
              </a:solidFill>
              <a:effectLst/>
              <a:latin typeface="+mn-lt"/>
              <a:ea typeface="+mn-ea"/>
              <a:cs typeface="+mn-cs"/>
            </a:rPr>
            <a:t>Instructions</a:t>
          </a:r>
          <a:r>
            <a:rPr lang="en-US" sz="1400" b="1" baseline="0">
              <a:solidFill>
                <a:sysClr val="windowText" lastClr="000000"/>
              </a:solidFill>
              <a:effectLst/>
              <a:latin typeface="+mn-lt"/>
              <a:ea typeface="+mn-ea"/>
              <a:cs typeface="+mn-cs"/>
            </a:rPr>
            <a:t> and Notes</a:t>
          </a:r>
          <a:endParaRPr lang="en-US" sz="1400" b="1">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Columns B thru D will not print</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Task number must be filled in on column B in order to look up fees in column E.  The fees enable the conditional formatting to work.</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If you add new rows, copy the formulas in column C &amp; D to the new cells.</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You may need to adjust cell heights or enter a carriage return (ALT + Enter) to adjust the spacing.</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If you find that the last line is not printing, enter a carriage return (ALT + Enter)</a:t>
          </a:r>
          <a:r>
            <a:rPr lang="en-US" sz="1100" baseline="0">
              <a:solidFill>
                <a:sysClr val="windowText" lastClr="000000"/>
              </a:solidFill>
              <a:effectLst/>
              <a:latin typeface="+mn-lt"/>
              <a:ea typeface="+mn-ea"/>
              <a:cs typeface="+mn-cs"/>
            </a:rPr>
            <a:t> at the end of your text.</a:t>
          </a:r>
          <a:endParaRPr lang="en-US" sz="1100">
            <a:solidFill>
              <a:sysClr val="windowText" lastClr="000000"/>
            </a:solidFill>
            <a:effectLst/>
            <a:latin typeface="+mn-lt"/>
            <a:ea typeface="+mn-ea"/>
            <a:cs typeface="+mn-cs"/>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85725</xdr:colOff>
      <xdr:row>17</xdr:row>
      <xdr:rowOff>28575</xdr:rowOff>
    </xdr:from>
    <xdr:to>
      <xdr:col>2</xdr:col>
      <xdr:colOff>457200</xdr:colOff>
      <xdr:row>19</xdr:row>
      <xdr:rowOff>133351</xdr:rowOff>
    </xdr:to>
    <xdr:sp macro="" textlink="">
      <xdr:nvSpPr>
        <xdr:cNvPr id="2" name="Right Brace 1">
          <a:extLst>
            <a:ext uri="{FF2B5EF4-FFF2-40B4-BE49-F238E27FC236}">
              <a16:creationId xmlns:a16="http://schemas.microsoft.com/office/drawing/2014/main" id="{00000000-0008-0000-0700-000002000000}"/>
            </a:ext>
          </a:extLst>
        </xdr:cNvPr>
        <xdr:cNvSpPr/>
      </xdr:nvSpPr>
      <xdr:spPr>
        <a:xfrm>
          <a:off x="5819775" y="3305175"/>
          <a:ext cx="371475" cy="428626"/>
        </a:xfrm>
        <a:prstGeom prst="rightBrace">
          <a:avLst/>
        </a:prstGeom>
        <a:ln w="381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xdr:twoCellAnchor>
    <xdr:from>
      <xdr:col>2</xdr:col>
      <xdr:colOff>523875</xdr:colOff>
      <xdr:row>15</xdr:row>
      <xdr:rowOff>152399</xdr:rowOff>
    </xdr:from>
    <xdr:to>
      <xdr:col>6</xdr:col>
      <xdr:colOff>276224</xdr:colOff>
      <xdr:row>19</xdr:row>
      <xdr:rowOff>152400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6257925" y="3105149"/>
          <a:ext cx="2495549" cy="647701"/>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050">
              <a:solidFill>
                <a:sysClr val="windowText" lastClr="000000"/>
              </a:solidFill>
              <a:effectLst/>
              <a:latin typeface="+mn-lt"/>
              <a:ea typeface="+mn-ea"/>
              <a:cs typeface="+mn-cs"/>
            </a:rPr>
            <a:t>PM and Signer both sign the agreement by inserting image of their signatures within Excel.</a:t>
          </a:r>
          <a:endParaRPr lang="en-US" sz="1050">
            <a:solidFill>
              <a:sysClr val="windowText" lastClr="000000"/>
            </a:solidFill>
          </a:endParaRPr>
        </a:p>
      </xdr:txBody>
    </xdr:sp>
    <xdr:clientData fPrintsWithSheet="0"/>
  </xdr:twoCellAnchor>
  <xdr:twoCellAnchor>
    <xdr:from>
      <xdr:col>2</xdr:col>
      <xdr:colOff>47625</xdr:colOff>
      <xdr:row>0</xdr:row>
      <xdr:rowOff>85724</xdr:rowOff>
    </xdr:from>
    <xdr:to>
      <xdr:col>10</xdr:col>
      <xdr:colOff>476250</xdr:colOff>
      <xdr:row>8</xdr:row>
      <xdr:rowOff>95250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5781675" y="85724"/>
          <a:ext cx="5915025" cy="1828801"/>
        </a:xfrm>
        <a:prstGeom prst="rect">
          <a:avLst/>
        </a:prstGeom>
        <a:solidFill>
          <a:schemeClr val="accent5"/>
        </a:solidFill>
        <a:ln>
          <a:solidFill>
            <a:schemeClr val="accent5"/>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900" b="1">
              <a:solidFill>
                <a:sysClr val="windowText" lastClr="000000"/>
              </a:solidFill>
              <a:effectLst/>
              <a:latin typeface="+mn-lt"/>
              <a:ea typeface="+mn-ea"/>
              <a:cs typeface="+mn-cs"/>
            </a:rPr>
            <a:t>Retainers</a:t>
          </a:r>
        </a:p>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ysClr val="windowText" lastClr="000000"/>
              </a:solidFill>
              <a:effectLst/>
              <a:latin typeface="+mn-lt"/>
              <a:ea typeface="+mn-ea"/>
              <a:cs typeface="+mn-cs"/>
            </a:rPr>
            <a:t>You can turn the retainer language, calculation, and invoice generation on and off in the SETUP tab.</a:t>
          </a:r>
        </a:p>
        <a:p>
          <a:pPr marL="0" marR="0" indent="0" algn="l" defTabSz="914400" eaLnBrk="1" fontAlgn="auto" latinLnBrk="0" hangingPunct="1">
            <a:lnSpc>
              <a:spcPct val="100000"/>
            </a:lnSpc>
            <a:spcBef>
              <a:spcPts val="0"/>
            </a:spcBef>
            <a:spcAft>
              <a:spcPts val="0"/>
            </a:spcAft>
            <a:buClrTx/>
            <a:buSzTx/>
            <a:buFontTx/>
            <a:buNone/>
            <a:tabLst/>
            <a:defRPr/>
          </a:pPr>
          <a:endParaRPr lang="en-US" sz="90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ysClr val="windowText" lastClr="000000"/>
              </a:solidFill>
              <a:effectLst/>
              <a:latin typeface="+mn-lt"/>
              <a:ea typeface="+mn-ea"/>
              <a:cs typeface="+mn-cs"/>
            </a:rPr>
            <a:t>For small fees or projects with a short timeline it makes sense for the client to pay all or most of the fee up front - it is simpler for everyone.  Retainers are especially important for new or unknown clients - it is a good way to test their ability to pay.</a:t>
          </a:r>
          <a:r>
            <a:rPr lang="en-US" sz="900" baseline="0">
              <a:solidFill>
                <a:sysClr val="windowText" lastClr="000000"/>
              </a:solidFill>
              <a:effectLst/>
              <a:latin typeface="+mn-lt"/>
              <a:ea typeface="+mn-ea"/>
              <a:cs typeface="+mn-cs"/>
            </a:rPr>
            <a:t>  </a:t>
          </a:r>
          <a:r>
            <a:rPr lang="en-US" sz="900">
              <a:solidFill>
                <a:sysClr val="windowText" lastClr="000000"/>
              </a:solidFill>
            </a:rPr>
            <a:t>Retainers, in general, are very reasonable as they allow us to perform the Client's work using the Client's money instead of KH's.  </a:t>
          </a:r>
        </a:p>
        <a:p>
          <a:pPr marL="0" marR="0" indent="0" algn="l" defTabSz="914400" eaLnBrk="1" fontAlgn="auto" latinLnBrk="0" hangingPunct="1">
            <a:lnSpc>
              <a:spcPct val="100000"/>
            </a:lnSpc>
            <a:spcBef>
              <a:spcPts val="0"/>
            </a:spcBef>
            <a:spcAft>
              <a:spcPts val="0"/>
            </a:spcAft>
            <a:buClrTx/>
            <a:buSzTx/>
            <a:buFontTx/>
            <a:buNone/>
            <a:tabLst/>
            <a:defRPr/>
          </a:pPr>
          <a:endParaRPr lang="en-US" sz="9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ysClr val="windowText" lastClr="000000"/>
              </a:solidFill>
            </a:rPr>
            <a:t>If the retainer "Yes" is selected in the SETUP tab an invoice for the amount of the retainer is generated on a tab called "RetainerInvc"</a:t>
          </a:r>
        </a:p>
        <a:p>
          <a:pPr marL="0" marR="0" indent="0" algn="l" defTabSz="914400" eaLnBrk="1" fontAlgn="auto" latinLnBrk="0" hangingPunct="1">
            <a:lnSpc>
              <a:spcPct val="100000"/>
            </a:lnSpc>
            <a:spcBef>
              <a:spcPts val="0"/>
            </a:spcBef>
            <a:spcAft>
              <a:spcPts val="0"/>
            </a:spcAft>
            <a:buClrTx/>
            <a:buSzTx/>
            <a:buFontTx/>
            <a:buNone/>
            <a:tabLst/>
            <a:defRPr/>
          </a:pPr>
          <a:endParaRPr lang="en-US" sz="9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ysClr val="windowText" lastClr="000000"/>
              </a:solidFill>
            </a:rPr>
            <a:t>Make sure to send it to your Project Accountant when the client authorizes the contract.  If you don't send the invoice to accounting they may have trouble applying the payment!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2</xdr:col>
      <xdr:colOff>63500</xdr:colOff>
      <xdr:row>2</xdr:row>
      <xdr:rowOff>44450</xdr:rowOff>
    </xdr:from>
    <xdr:to>
      <xdr:col>11</xdr:col>
      <xdr:colOff>551618</xdr:colOff>
      <xdr:row>5</xdr:row>
      <xdr:rowOff>18911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524750" y="390525"/>
          <a:ext cx="6657143" cy="1114286"/>
        </a:xfrm>
        <a:prstGeom prst="rect">
          <a:avLst/>
        </a:prstGeom>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D195" totalsRowShown="0">
  <autoFilter ref="A1:D195" xr:uid="{00000000-0009-0000-0100-000003000000}"/>
  <tableColumns count="4">
    <tableColumn id="1" xr3:uid="{00000000-0010-0000-0000-000001000000}" name="TASK DESCRIPTIONS" dataDxfId="12"/>
    <tableColumn id="2" xr3:uid="{00000000-0010-0000-0000-000002000000}" name="Task #" dataDxfId="11"/>
    <tableColumn id="3" xr3:uid="{00000000-0010-0000-0000-000003000000}" name="Task Name" dataDxfId="10">
      <calculatedColumnFormula>VLOOKUP($B2,TaskTable!$B:$E,2,FALSE)</calculatedColumnFormula>
    </tableColumn>
    <tableColumn id="4" xr3:uid="{00000000-0010-0000-0000-000004000000}" name="Fee" dataDxfId="9" dataCellStyle="Comma">
      <calculatedColumnFormula>VLOOKUP($B2,TaskTable!$B:$E,3,FALSE)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1F31F8-5AF3-425D-9985-C64B9D300FE7}" name="TXOffices" displayName="TXOffices" ref="A1:C17" totalsRowShown="0" headerRowDxfId="8" dataDxfId="7" tableBorderDxfId="6" headerRowCellStyle="Normal 2" dataCellStyle="Normal 2">
  <autoFilter ref="A1:C17" xr:uid="{CA115BDB-A934-4925-A1C2-C4946B5DBAD4}"/>
  <tableColumns count="3">
    <tableColumn id="1" xr3:uid="{24B1B2DE-7FC3-4466-97FF-E061C9B5D87B}" name="Office Location" dataDxfId="5" dataCellStyle="Normal 2"/>
    <tableColumn id="5" xr3:uid="{CF5DC69D-FA8D-452B-9518-8A22317D3E26}" name="Office Phone" dataDxfId="4" dataCellStyle="Normal 2"/>
    <tableColumn id="6" xr3:uid="{2268152C-06B5-4859-8033-21C5DD7576CA}" name="Address" dataDxfId="3" dataCellStyle="Normal 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3:D20" totalsRowShown="0">
  <autoFilter ref="B3:D20" xr:uid="{00000000-0009-0000-0100-000001000000}"/>
  <tableColumns count="3">
    <tableColumn id="1" xr3:uid="{00000000-0010-0000-0100-000001000000}" name="Date" dataDxfId="2"/>
    <tableColumn id="2" xr3:uid="{00000000-0010-0000-0100-000002000000}" name="Name" dataDxfId="1"/>
    <tableColumn id="3" xr3:uid="{00000000-0010-0000-0100-000003000000}" name="Description of Change" dataDxfId="0"/>
  </tableColumns>
  <tableStyleInfo name="TableStyleLight1" showFirstColumn="0" showLastColumn="0" showRowStripes="1" showColumnStripes="0"/>
</table>
</file>

<file path=xl/theme/theme1.xml><?xml version="1.0" encoding="utf-8"?>
<a:theme xmlns:a="http://schemas.openxmlformats.org/drawingml/2006/main" name="ppt-kha">
  <a:themeElements>
    <a:clrScheme name="Kimley-Horn">
      <a:dk1>
        <a:srgbClr val="3F3F3F"/>
      </a:dk1>
      <a:lt1>
        <a:sysClr val="window" lastClr="FFFFFF"/>
      </a:lt1>
      <a:dk2>
        <a:srgbClr val="3A617A"/>
      </a:dk2>
      <a:lt2>
        <a:srgbClr val="BFBFBF"/>
      </a:lt2>
      <a:accent1>
        <a:srgbClr val="A20C33"/>
      </a:accent1>
      <a:accent2>
        <a:srgbClr val="71ADB7"/>
      </a:accent2>
      <a:accent3>
        <a:srgbClr val="B5C327"/>
      </a:accent3>
      <a:accent4>
        <a:srgbClr val="DE6420"/>
      </a:accent4>
      <a:accent5>
        <a:srgbClr val="FCF6B0"/>
      </a:accent5>
      <a:accent6>
        <a:srgbClr val="BFDEE0"/>
      </a:accent6>
      <a:hlink>
        <a:srgbClr val="A20C33"/>
      </a:hlink>
      <a:folHlink>
        <a:srgbClr val="A20C33"/>
      </a:folHlink>
    </a:clrScheme>
    <a:fontScheme name="Kimley-Hor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58"/>
  <sheetViews>
    <sheetView topLeftCell="A50" workbookViewId="0">
      <selection activeCell="B4" sqref="B4"/>
    </sheetView>
  </sheetViews>
  <sheetFormatPr defaultColWidth="9" defaultRowHeight="14.25" x14ac:dyDescent="0.2"/>
  <cols>
    <col min="1" max="1" width="1.75" style="95" customWidth="1"/>
    <col min="2" max="2" width="89.75" style="94" customWidth="1"/>
    <col min="3" max="16384" width="9" style="95"/>
  </cols>
  <sheetData>
    <row r="1" spans="2:2" s="78" customFormat="1" ht="15.75" x14ac:dyDescent="0.2">
      <c r="B1" s="148" t="s">
        <v>181</v>
      </c>
    </row>
    <row r="2" spans="2:2" s="78" customFormat="1" ht="12.75" x14ac:dyDescent="0.2">
      <c r="B2" s="108"/>
    </row>
    <row r="3" spans="2:2" s="78" customFormat="1" ht="54" customHeight="1" x14ac:dyDescent="0.2">
      <c r="B3" s="109" t="s">
        <v>182</v>
      </c>
    </row>
    <row r="4" spans="2:2" s="78" customFormat="1" ht="55.5" customHeight="1" x14ac:dyDescent="0.2">
      <c r="B4" s="109" t="s">
        <v>305</v>
      </c>
    </row>
    <row r="5" spans="2:2" s="78" customFormat="1" ht="12.75" x14ac:dyDescent="0.2">
      <c r="B5" s="118" t="s">
        <v>188</v>
      </c>
    </row>
    <row r="6" spans="2:2" s="78" customFormat="1" ht="38.25" x14ac:dyDescent="0.2">
      <c r="B6" s="109" t="s">
        <v>358</v>
      </c>
    </row>
    <row r="7" spans="2:2" s="78" customFormat="1" ht="54" customHeight="1" x14ac:dyDescent="0.2">
      <c r="B7" s="109" t="s">
        <v>363</v>
      </c>
    </row>
    <row r="8" spans="2:2" s="78" customFormat="1" ht="54.75" customHeight="1" x14ac:dyDescent="0.2">
      <c r="B8" s="108" t="s">
        <v>183</v>
      </c>
    </row>
    <row r="9" spans="2:2" s="78" customFormat="1" ht="43.5" customHeight="1" x14ac:dyDescent="0.2">
      <c r="B9" s="108" t="s">
        <v>303</v>
      </c>
    </row>
    <row r="10" spans="2:2" s="78" customFormat="1" ht="43.5" customHeight="1" x14ac:dyDescent="0.2">
      <c r="B10" s="108" t="s">
        <v>304</v>
      </c>
    </row>
    <row r="11" spans="2:2" s="78" customFormat="1" ht="12.75" x14ac:dyDescent="0.2">
      <c r="B11" s="108"/>
    </row>
    <row r="12" spans="2:2" s="78" customFormat="1" ht="12.75" x14ac:dyDescent="0.2">
      <c r="B12" s="108" t="s">
        <v>184</v>
      </c>
    </row>
    <row r="13" spans="2:2" s="78" customFormat="1" ht="25.5" x14ac:dyDescent="0.2">
      <c r="B13" s="117" t="s">
        <v>287</v>
      </c>
    </row>
    <row r="14" spans="2:2" s="78" customFormat="1" ht="25.5" x14ac:dyDescent="0.2">
      <c r="B14" s="117" t="s">
        <v>288</v>
      </c>
    </row>
    <row r="15" spans="2:2" s="78" customFormat="1" ht="79.5" customHeight="1" x14ac:dyDescent="0.2">
      <c r="B15" s="117" t="s">
        <v>357</v>
      </c>
    </row>
    <row r="16" spans="2:2" s="78" customFormat="1" ht="42.75" customHeight="1" x14ac:dyDescent="0.2">
      <c r="B16" s="117" t="s">
        <v>185</v>
      </c>
    </row>
    <row r="17" spans="2:2" s="78" customFormat="1" ht="51" x14ac:dyDescent="0.2">
      <c r="B17" s="117" t="s">
        <v>186</v>
      </c>
    </row>
    <row r="18" spans="2:2" s="78" customFormat="1" ht="25.5" x14ac:dyDescent="0.2">
      <c r="B18" s="117" t="s">
        <v>359</v>
      </c>
    </row>
    <row r="19" spans="2:2" s="78" customFormat="1" ht="12.75" x14ac:dyDescent="0.2">
      <c r="B19" s="117"/>
    </row>
    <row r="20" spans="2:2" s="78" customFormat="1" ht="12.75" x14ac:dyDescent="0.2">
      <c r="B20" s="109" t="s">
        <v>187</v>
      </c>
    </row>
    <row r="21" spans="2:2" s="78" customFormat="1" ht="12.75" x14ac:dyDescent="0.2">
      <c r="B21" s="117" t="s">
        <v>285</v>
      </c>
    </row>
    <row r="22" spans="2:2" s="78" customFormat="1" ht="12.75" x14ac:dyDescent="0.2">
      <c r="B22" s="117" t="s">
        <v>306</v>
      </c>
    </row>
    <row r="23" spans="2:2" s="78" customFormat="1" ht="12.75" x14ac:dyDescent="0.2">
      <c r="B23" s="117" t="s">
        <v>307</v>
      </c>
    </row>
    <row r="24" spans="2:2" s="78" customFormat="1" ht="25.5" x14ac:dyDescent="0.2">
      <c r="B24" s="117" t="s">
        <v>308</v>
      </c>
    </row>
    <row r="25" spans="2:2" s="78" customFormat="1" ht="12.75" x14ac:dyDescent="0.2">
      <c r="B25" s="117" t="s">
        <v>360</v>
      </c>
    </row>
    <row r="26" spans="2:2" s="78" customFormat="1" ht="12.75" x14ac:dyDescent="0.2">
      <c r="B26" s="82" t="s">
        <v>191</v>
      </c>
    </row>
    <row r="27" spans="2:2" s="78" customFormat="1" ht="25.5" x14ac:dyDescent="0.2">
      <c r="B27" s="82" t="s">
        <v>231</v>
      </c>
    </row>
    <row r="28" spans="2:2" s="78" customFormat="1" ht="12.75" x14ac:dyDescent="0.2">
      <c r="B28" s="82"/>
    </row>
    <row r="29" spans="2:2" s="78" customFormat="1" ht="12.75" x14ac:dyDescent="0.2">
      <c r="B29" s="82"/>
    </row>
    <row r="30" spans="2:2" s="78" customFormat="1" ht="12.75" x14ac:dyDescent="0.2">
      <c r="B30" s="9"/>
    </row>
    <row r="31" spans="2:2" s="78" customFormat="1" ht="38.25" x14ac:dyDescent="0.2">
      <c r="B31" s="109" t="s">
        <v>315</v>
      </c>
    </row>
    <row r="32" spans="2:2" s="78" customFormat="1" ht="12.75" x14ac:dyDescent="0.2">
      <c r="B32" s="110"/>
    </row>
    <row r="33" spans="2:2" s="78" customFormat="1" ht="15.75" x14ac:dyDescent="0.2">
      <c r="B33" s="149" t="s">
        <v>141</v>
      </c>
    </row>
    <row r="34" spans="2:2" s="78" customFormat="1" ht="12.75" x14ac:dyDescent="0.2">
      <c r="B34" s="110"/>
    </row>
    <row r="35" spans="2:2" s="78" customFormat="1" ht="12.75" x14ac:dyDescent="0.2">
      <c r="B35" s="109" t="s">
        <v>212</v>
      </c>
    </row>
    <row r="36" spans="2:2" s="78" customFormat="1" ht="12.75" x14ac:dyDescent="0.2">
      <c r="B36" s="109" t="s">
        <v>138</v>
      </c>
    </row>
    <row r="37" spans="2:2" s="78" customFormat="1" ht="12.75" x14ac:dyDescent="0.2">
      <c r="B37" s="109" t="s">
        <v>286</v>
      </c>
    </row>
    <row r="38" spans="2:2" s="78" customFormat="1" ht="12.75" x14ac:dyDescent="0.2">
      <c r="B38" s="109" t="s">
        <v>189</v>
      </c>
    </row>
    <row r="39" spans="2:2" s="78" customFormat="1" ht="12.75" x14ac:dyDescent="0.2">
      <c r="B39" s="109" t="s">
        <v>190</v>
      </c>
    </row>
    <row r="40" spans="2:2" s="78" customFormat="1" ht="12.75" x14ac:dyDescent="0.2">
      <c r="B40" s="109" t="s">
        <v>361</v>
      </c>
    </row>
    <row r="41" spans="2:2" s="78" customFormat="1" ht="27.75" customHeight="1" x14ac:dyDescent="0.2">
      <c r="B41" s="109" t="s">
        <v>139</v>
      </c>
    </row>
    <row r="42" spans="2:2" s="78" customFormat="1" ht="12.75" x14ac:dyDescent="0.2">
      <c r="B42" s="109" t="s">
        <v>140</v>
      </c>
    </row>
    <row r="43" spans="2:2" s="78" customFormat="1" ht="12.75" x14ac:dyDescent="0.2">
      <c r="B43" s="109" t="s">
        <v>362</v>
      </c>
    </row>
    <row r="44" spans="2:2" s="78" customFormat="1" ht="12.75" x14ac:dyDescent="0.2">
      <c r="B44" s="109" t="s">
        <v>309</v>
      </c>
    </row>
    <row r="45" spans="2:2" s="78" customFormat="1" ht="12.75" x14ac:dyDescent="0.2">
      <c r="B45" s="109" t="s">
        <v>213</v>
      </c>
    </row>
    <row r="46" spans="2:2" s="78" customFormat="1" ht="12.75" x14ac:dyDescent="0.2">
      <c r="B46" s="108"/>
    </row>
    <row r="47" spans="2:2" s="78" customFormat="1" ht="15.75" x14ac:dyDescent="0.2">
      <c r="B47" s="149" t="s">
        <v>214</v>
      </c>
    </row>
    <row r="48" spans="2:2" s="78" customFormat="1" ht="12.75" x14ac:dyDescent="0.2">
      <c r="B48" s="110"/>
    </row>
    <row r="49" spans="2:2" s="78" customFormat="1" ht="15.75" customHeight="1" x14ac:dyDescent="0.2">
      <c r="B49" s="109" t="s">
        <v>310</v>
      </c>
    </row>
    <row r="50" spans="2:2" s="78" customFormat="1" ht="14.25" customHeight="1" x14ac:dyDescent="0.2">
      <c r="B50" s="109" t="s">
        <v>282</v>
      </c>
    </row>
    <row r="51" spans="2:2" s="78" customFormat="1" ht="14.25" customHeight="1" x14ac:dyDescent="0.2">
      <c r="B51" s="109" t="s">
        <v>216</v>
      </c>
    </row>
    <row r="52" spans="2:2" s="78" customFormat="1" ht="12.75" x14ac:dyDescent="0.2">
      <c r="B52" s="108" t="s">
        <v>215</v>
      </c>
    </row>
    <row r="53" spans="2:2" s="78" customFormat="1" ht="12.75" x14ac:dyDescent="0.2">
      <c r="B53" s="108" t="s">
        <v>217</v>
      </c>
    </row>
    <row r="54" spans="2:2" s="78" customFormat="1" ht="15" customHeight="1" x14ac:dyDescent="0.2">
      <c r="B54" s="108" t="s">
        <v>271</v>
      </c>
    </row>
    <row r="55" spans="2:2" s="78" customFormat="1" ht="25.5" x14ac:dyDescent="0.2">
      <c r="B55" s="108" t="s">
        <v>218</v>
      </c>
    </row>
    <row r="57" spans="2:2" ht="31.5" x14ac:dyDescent="0.2">
      <c r="B57" s="149" t="s">
        <v>277</v>
      </c>
    </row>
    <row r="58" spans="2:2" ht="41.25" customHeight="1" x14ac:dyDescent="0.2">
      <c r="B58" s="108" t="s">
        <v>311</v>
      </c>
    </row>
  </sheetData>
  <pageMargins left="0.7" right="0.7" top="0.75" bottom="0.75" header="0.3" footer="0.3"/>
  <pageSetup orientation="portrait" horizontalDpi="1200" verticalDpi="1200" r:id="rId1"/>
  <headerFooter>
    <oddFooter>&amp;L&amp;"Arial,Regular"&amp;9&amp;K04+00013455 Noel Road, Two Galleria Office Tower, Suite 700, Dallas, TX 75240&amp;R&amp;9 &amp;K04+000972 770 1300   |   kimley-horn.com</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46"/>
  <sheetViews>
    <sheetView showGridLines="0" topLeftCell="A29" workbookViewId="0">
      <selection activeCell="C35" sqref="C35"/>
    </sheetView>
  </sheetViews>
  <sheetFormatPr defaultColWidth="9" defaultRowHeight="12.75" x14ac:dyDescent="0.2"/>
  <cols>
    <col min="1" max="1" width="2.125" style="1" customWidth="1"/>
    <col min="2" max="2" width="18.75" style="1" customWidth="1"/>
    <col min="3" max="3" width="35.875" style="1" customWidth="1"/>
    <col min="4" max="4" width="12.625" style="1" customWidth="1"/>
    <col min="5" max="5" width="9" style="1"/>
    <col min="6" max="6" width="1.125" style="1" customWidth="1"/>
    <col min="7" max="9" width="9" style="1"/>
    <col min="10" max="10" width="9" style="1" customWidth="1"/>
    <col min="11" max="11" width="4.125" style="1" customWidth="1"/>
    <col min="12" max="16384" width="9" style="1"/>
  </cols>
  <sheetData>
    <row r="1" spans="2:17" ht="6" customHeight="1" x14ac:dyDescent="0.2"/>
    <row r="2" spans="2:17" ht="35.25" customHeight="1" x14ac:dyDescent="0.25">
      <c r="B2" s="150" t="s">
        <v>131</v>
      </c>
      <c r="H2" s="78"/>
      <c r="K2" s="151" t="s">
        <v>283</v>
      </c>
      <c r="Q2" s="52"/>
    </row>
    <row r="3" spans="2:17" x14ac:dyDescent="0.2">
      <c r="B3" s="52" t="s">
        <v>555</v>
      </c>
      <c r="H3" s="130"/>
      <c r="I3" s="131"/>
      <c r="J3" s="131"/>
      <c r="L3" s="130"/>
      <c r="M3" s="131"/>
      <c r="N3" s="131"/>
    </row>
    <row r="4" spans="2:17" x14ac:dyDescent="0.2">
      <c r="B4" s="136" t="s">
        <v>45</v>
      </c>
      <c r="C4" s="146" t="s">
        <v>511</v>
      </c>
      <c r="H4" s="130"/>
      <c r="I4" s="131"/>
      <c r="J4" s="131"/>
      <c r="L4" s="130"/>
      <c r="M4" s="131"/>
      <c r="N4" s="131"/>
    </row>
    <row r="5" spans="2:17" x14ac:dyDescent="0.2">
      <c r="B5" s="136" t="s">
        <v>45</v>
      </c>
      <c r="C5" s="136" t="str">
        <f>VLOOKUP(KHOffice,TXOffices[],3,0)</f>
        <v>13455 Noel Road, Two Galleria Office Tower, Suite 700, Dallas, TX 75240</v>
      </c>
    </row>
    <row r="6" spans="2:17" x14ac:dyDescent="0.2">
      <c r="B6" s="136" t="s">
        <v>46</v>
      </c>
      <c r="C6" s="136" t="str">
        <f>VLOOKUP(KHOffice,TXOffices[],2,0)</f>
        <v>972 770 1300</v>
      </c>
    </row>
    <row r="7" spans="2:17" x14ac:dyDescent="0.2">
      <c r="B7" s="52" t="s">
        <v>128</v>
      </c>
    </row>
    <row r="8" spans="2:17" x14ac:dyDescent="0.2">
      <c r="B8" s="1" t="s">
        <v>435</v>
      </c>
      <c r="C8" s="198" t="s">
        <v>436</v>
      </c>
    </row>
    <row r="9" spans="2:17" x14ac:dyDescent="0.2">
      <c r="B9" s="136" t="s">
        <v>437</v>
      </c>
      <c r="C9" s="138">
        <f ca="1">+TODAY()</f>
        <v>46042</v>
      </c>
      <c r="D9" s="52" t="s">
        <v>317</v>
      </c>
    </row>
    <row r="10" spans="2:17" x14ac:dyDescent="0.2">
      <c r="B10" s="136" t="s">
        <v>438</v>
      </c>
      <c r="C10" s="200"/>
      <c r="D10" s="52" t="s">
        <v>439</v>
      </c>
      <c r="H10" s="4"/>
    </row>
    <row r="11" spans="2:17" x14ac:dyDescent="0.2">
      <c r="B11" s="136" t="s">
        <v>39</v>
      </c>
      <c r="C11" s="137" t="s">
        <v>113</v>
      </c>
    </row>
    <row r="12" spans="2:17" ht="18" x14ac:dyDescent="0.25">
      <c r="B12" s="136" t="s">
        <v>38</v>
      </c>
      <c r="C12" s="137" t="s">
        <v>222</v>
      </c>
      <c r="K12" s="132" t="s">
        <v>284</v>
      </c>
    </row>
    <row r="13" spans="2:17" x14ac:dyDescent="0.2">
      <c r="B13" s="136" t="s">
        <v>40</v>
      </c>
      <c r="C13" s="139" t="s">
        <v>115</v>
      </c>
    </row>
    <row r="14" spans="2:17" x14ac:dyDescent="0.2">
      <c r="B14" s="136" t="s">
        <v>41</v>
      </c>
      <c r="C14" s="139" t="s">
        <v>116</v>
      </c>
    </row>
    <row r="15" spans="2:17" x14ac:dyDescent="0.2">
      <c r="B15" s="136" t="s">
        <v>42</v>
      </c>
      <c r="C15" s="137" t="s">
        <v>564</v>
      </c>
    </row>
    <row r="16" spans="2:17" x14ac:dyDescent="0.2">
      <c r="B16" s="136"/>
      <c r="C16" s="136"/>
    </row>
    <row r="17" spans="2:7" x14ac:dyDescent="0.2">
      <c r="B17" s="136" t="s">
        <v>43</v>
      </c>
      <c r="C17" s="137" t="s">
        <v>112</v>
      </c>
      <c r="D17" s="52" t="s">
        <v>563</v>
      </c>
    </row>
    <row r="18" spans="2:7" x14ac:dyDescent="0.2">
      <c r="B18" s="136"/>
      <c r="C18" s="136"/>
    </row>
    <row r="19" spans="2:7" x14ac:dyDescent="0.2">
      <c r="B19" s="136" t="s">
        <v>118</v>
      </c>
      <c r="C19" s="137" t="s">
        <v>114</v>
      </c>
    </row>
    <row r="20" spans="2:7" x14ac:dyDescent="0.2">
      <c r="B20" s="136" t="s">
        <v>117</v>
      </c>
      <c r="C20" s="139" t="s">
        <v>223</v>
      </c>
    </row>
    <row r="21" spans="2:7" x14ac:dyDescent="0.2">
      <c r="B21" s="136" t="s">
        <v>119</v>
      </c>
      <c r="C21" s="139" t="s">
        <v>583</v>
      </c>
    </row>
    <row r="22" spans="2:7" x14ac:dyDescent="0.2">
      <c r="B22" s="136"/>
      <c r="C22" s="140"/>
    </row>
    <row r="23" spans="2:7" x14ac:dyDescent="0.2">
      <c r="B23" s="136" t="s">
        <v>320</v>
      </c>
      <c r="C23" s="141">
        <v>0.05</v>
      </c>
      <c r="D23" s="52" t="s">
        <v>312</v>
      </c>
    </row>
    <row r="24" spans="2:7" x14ac:dyDescent="0.2">
      <c r="B24" s="136" t="s">
        <v>319</v>
      </c>
      <c r="C24" s="141">
        <v>0.15</v>
      </c>
      <c r="D24" s="52"/>
    </row>
    <row r="25" spans="2:7" x14ac:dyDescent="0.2">
      <c r="B25" s="136" t="s">
        <v>102</v>
      </c>
      <c r="C25" s="142" t="s">
        <v>103</v>
      </c>
    </row>
    <row r="26" spans="2:7" x14ac:dyDescent="0.2">
      <c r="B26" s="136" t="s">
        <v>66</v>
      </c>
      <c r="C26" s="142">
        <v>8.2500000000000004E-2</v>
      </c>
    </row>
    <row r="27" spans="2:7" x14ac:dyDescent="0.2">
      <c r="B27" s="136"/>
      <c r="C27" s="143"/>
    </row>
    <row r="28" spans="2:7" x14ac:dyDescent="0.2">
      <c r="B28" s="136" t="s">
        <v>65</v>
      </c>
      <c r="C28" s="144">
        <v>225</v>
      </c>
      <c r="D28" s="52" t="s">
        <v>369</v>
      </c>
    </row>
    <row r="29" spans="2:7" x14ac:dyDescent="0.2">
      <c r="B29" s="136"/>
      <c r="C29" s="145"/>
    </row>
    <row r="30" spans="2:7" x14ac:dyDescent="0.2">
      <c r="B30" s="136" t="s">
        <v>172</v>
      </c>
      <c r="C30" s="144" t="s">
        <v>269</v>
      </c>
      <c r="D30" s="1" t="s">
        <v>179</v>
      </c>
      <c r="E30" s="1" t="s">
        <v>180</v>
      </c>
      <c r="G30" s="52" t="s">
        <v>313</v>
      </c>
    </row>
    <row r="31" spans="2:7" x14ac:dyDescent="0.2">
      <c r="C31" s="53" t="s">
        <v>220</v>
      </c>
      <c r="D31" s="133">
        <v>5000</v>
      </c>
      <c r="E31" s="134">
        <v>1</v>
      </c>
      <c r="G31" s="52" t="s">
        <v>355</v>
      </c>
    </row>
    <row r="32" spans="2:7" x14ac:dyDescent="0.2">
      <c r="D32" s="135">
        <v>20000</v>
      </c>
      <c r="E32" s="134">
        <v>0.5</v>
      </c>
      <c r="G32" s="52" t="s">
        <v>314</v>
      </c>
    </row>
    <row r="33" spans="2:5" x14ac:dyDescent="0.2">
      <c r="C33" s="53"/>
      <c r="D33" s="135">
        <v>20001</v>
      </c>
      <c r="E33" s="134">
        <v>0.2</v>
      </c>
    </row>
    <row r="34" spans="2:5" x14ac:dyDescent="0.2">
      <c r="C34" s="53"/>
      <c r="D34" s="55"/>
      <c r="E34" s="69"/>
    </row>
    <row r="35" spans="2:5" x14ac:dyDescent="0.2">
      <c r="B35" s="136" t="s">
        <v>120</v>
      </c>
      <c r="C35" s="137" t="s">
        <v>125</v>
      </c>
      <c r="D35" s="52" t="s">
        <v>130</v>
      </c>
    </row>
    <row r="36" spans="2:5" x14ac:dyDescent="0.2">
      <c r="B36" s="136" t="s">
        <v>121</v>
      </c>
      <c r="C36" s="137" t="s">
        <v>122</v>
      </c>
      <c r="D36" s="52" t="s">
        <v>370</v>
      </c>
    </row>
    <row r="37" spans="2:5" ht="15" x14ac:dyDescent="0.2">
      <c r="E37" s="3"/>
    </row>
    <row r="38" spans="2:5" ht="15" x14ac:dyDescent="0.2">
      <c r="B38" s="136" t="s">
        <v>123</v>
      </c>
      <c r="C38" s="137" t="s">
        <v>126</v>
      </c>
      <c r="D38" s="52" t="s">
        <v>129</v>
      </c>
      <c r="E38" s="3"/>
    </row>
    <row r="39" spans="2:5" ht="15" x14ac:dyDescent="0.2">
      <c r="B39" s="136" t="s">
        <v>124</v>
      </c>
      <c r="C39" s="137" t="s">
        <v>434</v>
      </c>
      <c r="D39" s="52" t="s">
        <v>370</v>
      </c>
      <c r="E39" s="3"/>
    </row>
    <row r="40" spans="2:5" ht="15" x14ac:dyDescent="0.2">
      <c r="D40" s="52" t="s">
        <v>584</v>
      </c>
      <c r="E40" s="3"/>
    </row>
    <row r="41" spans="2:5" ht="15" x14ac:dyDescent="0.2">
      <c r="B41" s="80" t="s">
        <v>173</v>
      </c>
      <c r="E41" s="3"/>
    </row>
    <row r="42" spans="2:5" ht="15" x14ac:dyDescent="0.2">
      <c r="B42" s="136" t="s">
        <v>174</v>
      </c>
      <c r="C42" s="146"/>
      <c r="D42" s="52" t="s">
        <v>224</v>
      </c>
      <c r="E42" s="3"/>
    </row>
    <row r="43" spans="2:5" ht="15" x14ac:dyDescent="0.2">
      <c r="B43" s="136" t="s">
        <v>175</v>
      </c>
      <c r="C43" s="146"/>
      <c r="D43" s="52" t="s">
        <v>225</v>
      </c>
      <c r="E43" s="3"/>
    </row>
    <row r="44" spans="2:5" ht="15" x14ac:dyDescent="0.2">
      <c r="B44" s="136" t="s">
        <v>176</v>
      </c>
      <c r="C44" s="146"/>
      <c r="E44" s="3"/>
    </row>
    <row r="45" spans="2:5" ht="15" x14ac:dyDescent="0.2">
      <c r="B45" s="136" t="s">
        <v>18</v>
      </c>
      <c r="C45" s="146"/>
      <c r="E45" s="3"/>
    </row>
    <row r="46" spans="2:5" ht="15" x14ac:dyDescent="0.2">
      <c r="E46" s="3"/>
    </row>
  </sheetData>
  <conditionalFormatting sqref="C10">
    <cfRule type="expression" dxfId="95" priority="1">
      <formula>$C$8="Addendum"</formula>
    </cfRule>
  </conditionalFormatting>
  <dataValidations count="2">
    <dataValidation type="list" allowBlank="1" showInputMessage="1" showErrorMessage="1" sqref="C30" xr:uid="{00000000-0002-0000-0100-000000000000}">
      <formula1>"Yes, No"</formula1>
    </dataValidation>
    <dataValidation type="list" allowBlank="1" showInputMessage="1" showErrorMessage="1" sqref="C8" xr:uid="{2C72B396-A355-470E-B4D6-9260D9048AE4}">
      <formula1>"Original Contract, Addendum"</formula1>
    </dataValidation>
  </dataValidations>
  <pageMargins left="0.7" right="0.7" top="0.75" bottom="0.75" header="0.3" footer="0.3"/>
  <pageSetup orientation="portrait" horizontalDpi="1200" verticalDpi="1200" r:id="rId1"/>
  <headerFooter>
    <oddFooter>&amp;Ckimley-horn.com 12750 Merit Drive, Suite 1000, Dallas, TX 75251 972 770 1300&amp;L&amp;"Arial,Regular"&amp;9&amp;K04+00013455 Noel Road, Two Galleria Office Tower, Suite 700, Dallas, TX 75240&amp;R&amp;9 &amp;K04+000972 770 1300   |   kimley-horn.com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42" r:id="rId4" name="Button 22">
              <controlPr defaultSize="0" print="0" autoFill="0" autoPict="0" macro="[0]!btnPrintWbkExclRateSched">
                <anchor moveWithCells="1" sizeWithCells="1">
                  <from>
                    <xdr:col>6</xdr:col>
                    <xdr:colOff>581025</xdr:colOff>
                    <xdr:row>4</xdr:row>
                    <xdr:rowOff>38100</xdr:rowOff>
                  </from>
                  <to>
                    <xdr:col>10</xdr:col>
                    <xdr:colOff>123825</xdr:colOff>
                    <xdr:row>6</xdr:row>
                    <xdr:rowOff>57150</xdr:rowOff>
                  </to>
                </anchor>
              </controlPr>
            </control>
          </mc:Choice>
        </mc:AlternateContent>
        <mc:AlternateContent xmlns:mc="http://schemas.openxmlformats.org/markup-compatibility/2006">
          <mc:Choice Requires="x14">
            <control shapeId="5143" r:id="rId5" name="Button 23">
              <controlPr defaultSize="0" print="0" autoFill="0" autoPict="0" macro="[0]!btnPrintWbkInclRateSched">
                <anchor moveWithCells="1" sizeWithCells="1">
                  <from>
                    <xdr:col>6</xdr:col>
                    <xdr:colOff>581025</xdr:colOff>
                    <xdr:row>7</xdr:row>
                    <xdr:rowOff>19050</xdr:rowOff>
                  </from>
                  <to>
                    <xdr:col>10</xdr:col>
                    <xdr:colOff>123825</xdr:colOff>
                    <xdr:row>9</xdr:row>
                    <xdr:rowOff>38100</xdr:rowOff>
                  </to>
                </anchor>
              </controlPr>
            </control>
          </mc:Choice>
        </mc:AlternateContent>
        <mc:AlternateContent xmlns:mc="http://schemas.openxmlformats.org/markup-compatibility/2006">
          <mc:Choice Requires="x14">
            <control shapeId="5149" r:id="rId6" name="Button 29">
              <controlPr defaultSize="0" print="0" autoFill="0" autoPict="0" macro="[0]!btnShowDesignPhase">
                <anchor moveWithCells="1" sizeWithCells="1">
                  <from>
                    <xdr:col>10</xdr:col>
                    <xdr:colOff>209550</xdr:colOff>
                    <xdr:row>12</xdr:row>
                    <xdr:rowOff>28575</xdr:rowOff>
                  </from>
                  <to>
                    <xdr:col>14</xdr:col>
                    <xdr:colOff>123825</xdr:colOff>
                    <xdr:row>15</xdr:row>
                    <xdr:rowOff>133350</xdr:rowOff>
                  </to>
                </anchor>
              </controlPr>
            </control>
          </mc:Choice>
        </mc:AlternateContent>
        <mc:AlternateContent xmlns:mc="http://schemas.openxmlformats.org/markup-compatibility/2006">
          <mc:Choice Requires="x14">
            <control shapeId="5150" r:id="rId7" name="Button 30">
              <controlPr defaultSize="0" print="0" autoFill="0" autoPict="0" macro="[0]!btnHideDesignPhase">
                <anchor moveWithCells="1" sizeWithCells="1">
                  <from>
                    <xdr:col>6</xdr:col>
                    <xdr:colOff>571500</xdr:colOff>
                    <xdr:row>12</xdr:row>
                    <xdr:rowOff>28575</xdr:rowOff>
                  </from>
                  <to>
                    <xdr:col>10</xdr:col>
                    <xdr:colOff>114300</xdr:colOff>
                    <xdr:row>15</xdr:row>
                    <xdr:rowOff>133350</xdr:rowOff>
                  </to>
                </anchor>
              </controlPr>
            </control>
          </mc:Choice>
        </mc:AlternateContent>
        <mc:AlternateContent xmlns:mc="http://schemas.openxmlformats.org/markup-compatibility/2006">
          <mc:Choice Requires="x14">
            <control shapeId="5152" r:id="rId8" name="Button 32">
              <controlPr defaultSize="0" print="0" autoFill="0" autoPict="0" macro="[0]!btnHideZeroRowsTaskTable">
                <anchor moveWithCells="1" sizeWithCells="1">
                  <from>
                    <xdr:col>6</xdr:col>
                    <xdr:colOff>590550</xdr:colOff>
                    <xdr:row>16</xdr:row>
                    <xdr:rowOff>85725</xdr:rowOff>
                  </from>
                  <to>
                    <xdr:col>10</xdr:col>
                    <xdr:colOff>133350</xdr:colOff>
                    <xdr:row>20</xdr:row>
                    <xdr:rowOff>28575</xdr:rowOff>
                  </to>
                </anchor>
              </controlPr>
            </control>
          </mc:Choice>
        </mc:AlternateContent>
        <mc:AlternateContent xmlns:mc="http://schemas.openxmlformats.org/markup-compatibility/2006">
          <mc:Choice Requires="x14">
            <control shapeId="5153" r:id="rId9" name="Button 33">
              <controlPr defaultSize="0" print="0" autoFill="0" autoPict="0" macro="[0]!btnHideZeroRowsTaskDescriptions">
                <anchor moveWithCells="1" sizeWithCells="1">
                  <from>
                    <xdr:col>6</xdr:col>
                    <xdr:colOff>590550</xdr:colOff>
                    <xdr:row>20</xdr:row>
                    <xdr:rowOff>142875</xdr:rowOff>
                  </from>
                  <to>
                    <xdr:col>10</xdr:col>
                    <xdr:colOff>133350</xdr:colOff>
                    <xdr:row>24</xdr:row>
                    <xdr:rowOff>85725</xdr:rowOff>
                  </to>
                </anchor>
              </controlPr>
            </control>
          </mc:Choice>
        </mc:AlternateContent>
        <mc:AlternateContent xmlns:mc="http://schemas.openxmlformats.org/markup-compatibility/2006">
          <mc:Choice Requires="x14">
            <control shapeId="5154" r:id="rId10" name="Button 34">
              <controlPr defaultSize="0" print="0" autoFill="0" autoPict="0" macro="[0]!btnUnHideZeroRowsTaskTable">
                <anchor moveWithCells="1" sizeWithCells="1">
                  <from>
                    <xdr:col>10</xdr:col>
                    <xdr:colOff>200025</xdr:colOff>
                    <xdr:row>16</xdr:row>
                    <xdr:rowOff>66675</xdr:rowOff>
                  </from>
                  <to>
                    <xdr:col>14</xdr:col>
                    <xdr:colOff>114300</xdr:colOff>
                    <xdr:row>20</xdr:row>
                    <xdr:rowOff>9525</xdr:rowOff>
                  </to>
                </anchor>
              </controlPr>
            </control>
          </mc:Choice>
        </mc:AlternateContent>
        <mc:AlternateContent xmlns:mc="http://schemas.openxmlformats.org/markup-compatibility/2006">
          <mc:Choice Requires="x14">
            <control shapeId="5155" r:id="rId11" name="Button 35">
              <controlPr defaultSize="0" print="0" autoFill="0" autoPict="0" macro="[0]!btnUnHideZeroRowsTaskDescriptions">
                <anchor moveWithCells="1" sizeWithCells="1">
                  <from>
                    <xdr:col>10</xdr:col>
                    <xdr:colOff>209550</xdr:colOff>
                    <xdr:row>20</xdr:row>
                    <xdr:rowOff>133350</xdr:rowOff>
                  </from>
                  <to>
                    <xdr:col>14</xdr:col>
                    <xdr:colOff>123825</xdr:colOff>
                    <xdr:row>24</xdr:row>
                    <xdr:rowOff>76200</xdr:rowOff>
                  </to>
                </anchor>
              </controlPr>
            </control>
          </mc:Choice>
        </mc:AlternateContent>
        <mc:AlternateContent xmlns:mc="http://schemas.openxmlformats.org/markup-compatibility/2006">
          <mc:Choice Requires="x14">
            <control shapeId="5158" r:id="rId12" name="Button 38">
              <controlPr defaultSize="0" print="0" autoFill="0" autoPict="0" macro="[0]!btnPrintWbkExclRateSchedExclStdProv">
                <anchor moveWithCells="1" sizeWithCells="1">
                  <from>
                    <xdr:col>10</xdr:col>
                    <xdr:colOff>209550</xdr:colOff>
                    <xdr:row>4</xdr:row>
                    <xdr:rowOff>38100</xdr:rowOff>
                  </from>
                  <to>
                    <xdr:col>14</xdr:col>
                    <xdr:colOff>123825</xdr:colOff>
                    <xdr:row>6</xdr:row>
                    <xdr:rowOff>57150</xdr:rowOff>
                  </to>
                </anchor>
              </controlPr>
            </control>
          </mc:Choice>
        </mc:AlternateContent>
        <mc:AlternateContent xmlns:mc="http://schemas.openxmlformats.org/markup-compatibility/2006">
          <mc:Choice Requires="x14">
            <control shapeId="5159" r:id="rId13" name="Button 39">
              <controlPr defaultSize="0" print="0" autoFill="0" autoPict="0" macro="[0]!btnPrintWbkInclRateSchedExclStdProv">
                <anchor moveWithCells="1" sizeWithCells="1">
                  <from>
                    <xdr:col>10</xdr:col>
                    <xdr:colOff>209550</xdr:colOff>
                    <xdr:row>7</xdr:row>
                    <xdr:rowOff>19050</xdr:rowOff>
                  </from>
                  <to>
                    <xdr:col>14</xdr:col>
                    <xdr:colOff>123825</xdr:colOff>
                    <xdr:row>9</xdr:row>
                    <xdr:rowOff>38100</xdr:rowOff>
                  </to>
                </anchor>
              </controlPr>
            </control>
          </mc:Choice>
        </mc:AlternateContent>
        <mc:AlternateContent xmlns:mc="http://schemas.openxmlformats.org/markup-compatibility/2006">
          <mc:Choice Requires="x14">
            <control shapeId="5160" r:id="rId14" name="Button 40">
              <controlPr defaultSize="0" print="0" autoFill="0" autoPict="0" macro="[0]!subSpellCheckEntireWrkbk">
                <anchor moveWithCells="1" sizeWithCells="1">
                  <from>
                    <xdr:col>8</xdr:col>
                    <xdr:colOff>628650</xdr:colOff>
                    <xdr:row>1</xdr:row>
                    <xdr:rowOff>247650</xdr:rowOff>
                  </from>
                  <to>
                    <xdr:col>11</xdr:col>
                    <xdr:colOff>676275</xdr:colOff>
                    <xdr:row>2</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63DD03E-3697-42A5-95FD-AADB1057EBF6}">
          <x14:formula1>
            <xm:f>OfficeList!$A$2:$A$17</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55"/>
  <sheetViews>
    <sheetView tabSelected="1" topLeftCell="A15" zoomScaleNormal="100" zoomScalePageLayoutView="70" workbookViewId="0">
      <selection activeCell="A37" sqref="A37"/>
    </sheetView>
  </sheetViews>
  <sheetFormatPr defaultColWidth="9" defaultRowHeight="12.75" x14ac:dyDescent="0.2"/>
  <cols>
    <col min="1" max="1" width="76.75" style="9" customWidth="1"/>
    <col min="2" max="2" width="9" style="85"/>
    <col min="3" max="16384" width="9" style="24"/>
  </cols>
  <sheetData>
    <row r="1" spans="1:3" x14ac:dyDescent="0.2">
      <c r="A1" s="73">
        <f ca="1">TODAY()</f>
        <v>46042</v>
      </c>
    </row>
    <row r="3" spans="1:3" x14ac:dyDescent="0.2">
      <c r="A3" s="9" t="str">
        <f>ClientName</f>
        <v>Ms. Jane Smith</v>
      </c>
    </row>
    <row r="4" spans="1:3" x14ac:dyDescent="0.2">
      <c r="A4" s="9" t="str">
        <f>ClientCompany</f>
        <v>ABC Developer, Inc.</v>
      </c>
    </row>
    <row r="5" spans="1:3" x14ac:dyDescent="0.2">
      <c r="A5" s="9" t="str">
        <f>ClientAddress1</f>
        <v>700 Main Street</v>
      </c>
    </row>
    <row r="6" spans="1:3" x14ac:dyDescent="0.2">
      <c r="A6" s="9" t="str">
        <f>ClientAddress2</f>
        <v>Suite 100</v>
      </c>
    </row>
    <row r="7" spans="1:3" x14ac:dyDescent="0.2">
      <c r="A7" s="9" t="str">
        <f>ClientAddressCity</f>
        <v>Dallas, Texas 77002</v>
      </c>
    </row>
    <row r="8" spans="1:3" x14ac:dyDescent="0.2">
      <c r="C8" s="199"/>
    </row>
    <row r="9" spans="1:3" x14ac:dyDescent="0.2">
      <c r="A9" s="107" t="str">
        <f>"Re:  "&amp;Desc1</f>
        <v>Re:  Agreement for Professional Services - Site Civil Engineering</v>
      </c>
    </row>
    <row r="10" spans="1:3" x14ac:dyDescent="0.2">
      <c r="A10" s="119" t="str">
        <f>" "&amp;Desc2</f>
        <v xml:space="preserve"> Uptown Multifamily</v>
      </c>
    </row>
    <row r="11" spans="1:3" x14ac:dyDescent="0.2">
      <c r="A11" s="119" t="str">
        <f>" "&amp;Desc3</f>
        <v xml:space="preserve"> Dallas, Dallas County, Texas</v>
      </c>
    </row>
    <row r="13" spans="1:3" x14ac:dyDescent="0.2">
      <c r="A13" s="9" t="str">
        <f>"Dear "&amp;Salutation&amp;","</f>
        <v>Dear Ms. Smith,</v>
      </c>
    </row>
    <row r="15" spans="1:3" ht="38.25" x14ac:dyDescent="0.2">
      <c r="A15" s="9" t="str">
        <f>"Kimley-Horn and Associates, Inc. (“KH” or the “Consultant”), is pleased to submit this letter agreement (the “Agreement”) to "&amp;$A$4&amp;" (“the Client”) "&amp;IF(Setup!$C$8="Original Contract","for certain professional services.  "," as an addendum to, and in accordance with the terms of, the Civil Engineering Agreement (“the Original Agreement”) dated "&amp;TEXT(Setup!$C$10,"m/d/yyyy")&amp;".  ")&amp;"This agreement may be signed in the section entitled “AUTHORIZATION”."</f>
        <v>Kimley-Horn and Associates, Inc. (“KH” or the “Consultant”), is pleased to submit this letter agreement (the “Agreement”) to ABC Developer, Inc. (“the Client”) for certain professional services.  This agreement may be signed in the section entitled “AUTHORIZATION”.</v>
      </c>
    </row>
    <row r="17" spans="1:2" ht="15.75" x14ac:dyDescent="0.2">
      <c r="A17" s="70" t="s">
        <v>147</v>
      </c>
    </row>
    <row r="18" spans="1:2" s="1" customFormat="1" x14ac:dyDescent="0.2">
      <c r="A18" s="99"/>
      <c r="B18" s="182"/>
    </row>
    <row r="19" spans="1:2" s="1" customFormat="1" x14ac:dyDescent="0.2">
      <c r="A19" s="108" t="s">
        <v>582</v>
      </c>
      <c r="B19" s="182"/>
    </row>
    <row r="20" spans="1:2" s="1" customFormat="1" x14ac:dyDescent="0.2">
      <c r="A20" s="108" t="s">
        <v>581</v>
      </c>
      <c r="B20" s="182"/>
    </row>
    <row r="21" spans="1:2" s="1" customFormat="1" x14ac:dyDescent="0.2">
      <c r="A21" s="108" t="s">
        <v>202</v>
      </c>
      <c r="B21" s="182"/>
    </row>
    <row r="22" spans="1:2" s="1" customFormat="1" x14ac:dyDescent="0.2">
      <c r="A22" s="108" t="s">
        <v>201</v>
      </c>
      <c r="B22" s="182"/>
    </row>
    <row r="23" spans="1:2" s="1" customFormat="1" ht="25.5" x14ac:dyDescent="0.2">
      <c r="A23" s="108" t="s">
        <v>318</v>
      </c>
      <c r="B23" s="182"/>
    </row>
    <row r="24" spans="1:2" s="1" customFormat="1" x14ac:dyDescent="0.2">
      <c r="A24" s="108" t="s">
        <v>203</v>
      </c>
      <c r="B24" s="182"/>
    </row>
    <row r="25" spans="1:2" s="102" customFormat="1" x14ac:dyDescent="0.2">
      <c r="A25" s="9"/>
      <c r="B25" s="85"/>
    </row>
    <row r="26" spans="1:2" s="102" customFormat="1" ht="76.5" x14ac:dyDescent="0.2">
      <c r="A26" s="9" t="s">
        <v>431</v>
      </c>
      <c r="B26" s="85"/>
    </row>
    <row r="27" spans="1:2" s="102" customFormat="1" x14ac:dyDescent="0.2">
      <c r="A27" s="9"/>
      <c r="B27" s="85"/>
    </row>
    <row r="28" spans="1:2" ht="15.75" x14ac:dyDescent="0.2">
      <c r="A28" s="126" t="s">
        <v>204</v>
      </c>
    </row>
    <row r="29" spans="1:2" x14ac:dyDescent="0.2">
      <c r="A29" s="25"/>
    </row>
    <row r="30" spans="1:2" x14ac:dyDescent="0.2">
      <c r="A30" s="25"/>
    </row>
    <row r="31" spans="1:2" x14ac:dyDescent="0.2">
      <c r="A31" s="25"/>
    </row>
    <row r="33" spans="2:2" s="1" customFormat="1" x14ac:dyDescent="0.2">
      <c r="B33" s="182"/>
    </row>
    <row r="54" spans="1:1" x14ac:dyDescent="0.2">
      <c r="A54" s="24"/>
    </row>
    <row r="55" spans="1:1" x14ac:dyDescent="0.2">
      <c r="A55" s="99"/>
    </row>
  </sheetData>
  <conditionalFormatting sqref="A55 A18:A24">
    <cfRule type="expression" dxfId="94" priority="83">
      <formula>#REF!=0</formula>
    </cfRule>
  </conditionalFormatting>
  <conditionalFormatting sqref="A56 A26:A27">
    <cfRule type="expression" dxfId="93" priority="159">
      <formula>#REF!=0</formula>
    </cfRule>
  </conditionalFormatting>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B152"/>
  <sheetViews>
    <sheetView zoomScaleNormal="100" zoomScalePageLayoutView="70" workbookViewId="0">
      <pane xSplit="5" ySplit="3" topLeftCell="G4" activePane="bottomRight" state="frozen"/>
      <selection pane="topRight"/>
      <selection pane="bottomLeft"/>
      <selection pane="bottomRight" activeCell="D80" sqref="D80"/>
    </sheetView>
  </sheetViews>
  <sheetFormatPr defaultColWidth="9" defaultRowHeight="12.75" outlineLevelRow="1" outlineLevelCol="1" x14ac:dyDescent="0.2"/>
  <cols>
    <col min="1" max="1" width="1.625" style="24" customWidth="1"/>
    <col min="2" max="2" width="4.75" style="7" customWidth="1"/>
    <col min="3" max="3" width="45.75" style="25" customWidth="1"/>
    <col min="4" max="4" width="10.75" style="26" customWidth="1"/>
    <col min="5" max="5" width="8.25" style="7" customWidth="1"/>
    <col min="6" max="6" width="5.75" style="7" hidden="1" customWidth="1" outlineLevel="1"/>
    <col min="7" max="7" width="2.625" style="7" customWidth="1" collapsed="1"/>
    <col min="8" max="10" width="8.625" style="41" customWidth="1" outlineLevel="1"/>
    <col min="11" max="11" width="8.625" style="22" customWidth="1" outlineLevel="1"/>
    <col min="12" max="12" width="7.875" style="23" customWidth="1" outlineLevel="1"/>
    <col min="13" max="13" width="2.125" style="23" customWidth="1" outlineLevel="1"/>
    <col min="14" max="14" width="6" style="159" bestFit="1" customWidth="1"/>
    <col min="15" max="15" width="9" style="23"/>
    <col min="16" max="22" width="9" style="24"/>
    <col min="23" max="23" width="6.375" style="24" customWidth="1"/>
    <col min="24" max="24" width="9" style="165"/>
    <col min="25" max="25" width="9" style="24"/>
    <col min="26" max="26" width="9" style="24" customWidth="1"/>
    <col min="27" max="16384" width="9" style="24"/>
  </cols>
  <sheetData>
    <row r="1" spans="2:28" ht="15.75" x14ac:dyDescent="0.2">
      <c r="B1" s="71" t="s">
        <v>146</v>
      </c>
      <c r="C1" s="20"/>
      <c r="D1" s="21"/>
      <c r="F1" s="19"/>
      <c r="H1" s="89" t="s">
        <v>59</v>
      </c>
      <c r="O1" s="152" t="s">
        <v>426</v>
      </c>
      <c r="P1" s="153"/>
      <c r="Q1" s="153"/>
      <c r="R1" s="153"/>
      <c r="S1" s="153"/>
      <c r="T1" s="153"/>
      <c r="U1" s="153"/>
      <c r="V1" s="153"/>
      <c r="W1" s="153"/>
      <c r="X1" s="154"/>
    </row>
    <row r="2" spans="2:28" x14ac:dyDescent="0.2">
      <c r="B2" s="92" t="str">
        <f ca="1">"Copyright "&amp;YEAR(LetterDate)&amp;" Kimley-Horn and Associates, Inc.  All Rights Reserved."</f>
        <v>Copyright 2026 Kimley-Horn and Associates, Inc.  All Rights Reserved.</v>
      </c>
      <c r="D2" s="27"/>
      <c r="H2" s="42" t="s">
        <v>366</v>
      </c>
      <c r="N2" s="159" t="s">
        <v>321</v>
      </c>
      <c r="O2" s="155" t="s">
        <v>322</v>
      </c>
      <c r="P2" s="156" t="s">
        <v>323</v>
      </c>
      <c r="Q2" s="156" t="s">
        <v>324</v>
      </c>
      <c r="R2" s="156" t="s">
        <v>325</v>
      </c>
      <c r="S2" s="156" t="s">
        <v>177</v>
      </c>
      <c r="T2" s="156" t="s">
        <v>326</v>
      </c>
      <c r="U2" s="156" t="s">
        <v>327</v>
      </c>
      <c r="V2" s="156" t="s">
        <v>328</v>
      </c>
      <c r="W2" s="157" t="s">
        <v>329</v>
      </c>
      <c r="X2" s="158" t="s">
        <v>330</v>
      </c>
      <c r="Z2" s="159" t="s">
        <v>329</v>
      </c>
      <c r="AA2" s="159" t="s">
        <v>331</v>
      </c>
    </row>
    <row r="3" spans="2:28" x14ac:dyDescent="0.2">
      <c r="B3" s="47" t="s">
        <v>101</v>
      </c>
      <c r="C3" s="14" t="s">
        <v>37</v>
      </c>
      <c r="D3" s="15" t="s">
        <v>0</v>
      </c>
      <c r="E3" s="13" t="s">
        <v>1</v>
      </c>
      <c r="F3" s="13" t="s">
        <v>47</v>
      </c>
      <c r="G3" s="5"/>
      <c r="H3" s="43" t="s">
        <v>60</v>
      </c>
      <c r="I3" s="43"/>
      <c r="J3" s="43"/>
      <c r="K3" s="28"/>
      <c r="N3" s="159" t="s">
        <v>332</v>
      </c>
      <c r="O3" s="160">
        <v>260</v>
      </c>
      <c r="P3" s="161">
        <v>180</v>
      </c>
      <c r="Q3" s="161">
        <v>160</v>
      </c>
      <c r="R3" s="161">
        <v>145</v>
      </c>
      <c r="S3" s="161">
        <v>130</v>
      </c>
      <c r="T3" s="161">
        <v>110</v>
      </c>
      <c r="U3" s="161">
        <v>75</v>
      </c>
      <c r="V3" s="161">
        <v>85</v>
      </c>
      <c r="W3" s="157" t="s">
        <v>333</v>
      </c>
      <c r="X3" s="158" t="s">
        <v>334</v>
      </c>
      <c r="Y3" s="162" t="s">
        <v>335</v>
      </c>
      <c r="Z3" s="162" t="s">
        <v>37</v>
      </c>
      <c r="AA3" s="162" t="s">
        <v>336</v>
      </c>
    </row>
    <row r="4" spans="2:28" x14ac:dyDescent="0.2">
      <c r="B4" s="91">
        <v>100</v>
      </c>
      <c r="C4" s="66" t="s">
        <v>85</v>
      </c>
      <c r="D4" s="67">
        <v>0</v>
      </c>
      <c r="E4" s="68"/>
      <c r="F4" s="68"/>
      <c r="G4" s="29"/>
      <c r="H4" s="41" t="s">
        <v>61</v>
      </c>
      <c r="I4" s="41" t="s">
        <v>62</v>
      </c>
      <c r="J4" s="41" t="s">
        <v>63</v>
      </c>
      <c r="K4" s="30" t="s">
        <v>64</v>
      </c>
      <c r="N4" s="162"/>
      <c r="O4" s="163"/>
      <c r="P4" s="163"/>
      <c r="Q4" s="163"/>
      <c r="R4" s="163"/>
      <c r="S4" s="163"/>
      <c r="T4" s="163"/>
      <c r="U4" s="163"/>
      <c r="V4" s="163"/>
      <c r="W4" s="163"/>
      <c r="X4" s="164"/>
      <c r="Y4" s="165"/>
      <c r="Z4" s="165"/>
      <c r="AA4" s="165"/>
    </row>
    <row r="5" spans="2:28" x14ac:dyDescent="0.2">
      <c r="B5" s="6">
        <v>101</v>
      </c>
      <c r="C5" s="31" t="s">
        <v>2</v>
      </c>
      <c r="D5" s="54">
        <v>0</v>
      </c>
      <c r="E5" s="59" t="s">
        <v>3</v>
      </c>
      <c r="F5" s="6" t="s">
        <v>48</v>
      </c>
      <c r="H5" s="41">
        <v>500</v>
      </c>
      <c r="J5" s="41">
        <v>1500</v>
      </c>
      <c r="N5" s="162"/>
      <c r="O5" s="166"/>
      <c r="P5" s="166"/>
      <c r="Q5" s="166"/>
      <c r="R5" s="166"/>
      <c r="S5" s="166"/>
      <c r="T5" s="166"/>
      <c r="U5" s="166"/>
      <c r="V5" s="166"/>
      <c r="W5" s="163">
        <f t="shared" ref="W5:W11" si="0">SUM(O5:V5)</f>
        <v>0</v>
      </c>
      <c r="X5" s="164">
        <f>$O5*$O$3+$P5*$P$3+$Q5*$Q$3+$R5*$R$3+$S5*$S$3+$T5*$T$3+$U5*$U$3+$V5*$V$3</f>
        <v>0</v>
      </c>
      <c r="Y5" s="167"/>
      <c r="Z5" s="164">
        <f>SUM(X5:Y5)</f>
        <v>0</v>
      </c>
      <c r="AA5" s="167"/>
      <c r="AB5" s="165"/>
    </row>
    <row r="6" spans="2:28" x14ac:dyDescent="0.2">
      <c r="B6" s="6">
        <f>B5+1</f>
        <v>102</v>
      </c>
      <c r="C6" s="31" t="s">
        <v>4</v>
      </c>
      <c r="D6" s="54">
        <v>0</v>
      </c>
      <c r="E6" s="59" t="s">
        <v>3</v>
      </c>
      <c r="F6" s="6" t="s">
        <v>48</v>
      </c>
      <c r="H6" s="41">
        <v>1000</v>
      </c>
      <c r="I6" s="41">
        <v>1500</v>
      </c>
      <c r="J6" s="41">
        <v>2000</v>
      </c>
      <c r="N6" s="162"/>
      <c r="O6" s="166"/>
      <c r="P6" s="166"/>
      <c r="Q6" s="166"/>
      <c r="R6" s="166"/>
      <c r="S6" s="166"/>
      <c r="T6" s="166"/>
      <c r="U6" s="166"/>
      <c r="V6" s="166"/>
      <c r="W6" s="163">
        <f t="shared" si="0"/>
        <v>0</v>
      </c>
      <c r="X6" s="164">
        <f t="shared" ref="X6:X11" si="1">$O6*$O$3+$P6*$P$3+$Q6*$Q$3+$R6*$R$3+$S6*$S$3+$T6*$T$3+$U6*$U$3+$V6*$V$3</f>
        <v>0</v>
      </c>
      <c r="Y6" s="167"/>
      <c r="Z6" s="164">
        <f t="shared" ref="Z6:Z11" si="2">SUM(X6:Y6)</f>
        <v>0</v>
      </c>
      <c r="AA6" s="167"/>
    </row>
    <row r="7" spans="2:28" x14ac:dyDescent="0.2">
      <c r="B7" s="6">
        <f>B6+1</f>
        <v>103</v>
      </c>
      <c r="C7" s="31" t="s">
        <v>6</v>
      </c>
      <c r="D7" s="54">
        <v>0</v>
      </c>
      <c r="E7" s="59" t="s">
        <v>3</v>
      </c>
      <c r="F7" s="6" t="s">
        <v>48</v>
      </c>
      <c r="H7" s="41">
        <v>500</v>
      </c>
      <c r="J7" s="41">
        <v>1500</v>
      </c>
      <c r="N7" s="162"/>
      <c r="O7" s="166"/>
      <c r="P7" s="166"/>
      <c r="Q7" s="166"/>
      <c r="R7" s="166"/>
      <c r="S7" s="166"/>
      <c r="T7" s="166"/>
      <c r="U7" s="166"/>
      <c r="V7" s="166"/>
      <c r="W7" s="163">
        <f t="shared" si="0"/>
        <v>0</v>
      </c>
      <c r="X7" s="164">
        <f t="shared" si="1"/>
        <v>0</v>
      </c>
      <c r="Y7" s="167"/>
      <c r="Z7" s="164">
        <f t="shared" si="2"/>
        <v>0</v>
      </c>
      <c r="AA7" s="167"/>
    </row>
    <row r="8" spans="2:28" x14ac:dyDescent="0.2">
      <c r="B8" s="6">
        <f>B7+1</f>
        <v>104</v>
      </c>
      <c r="C8" s="31" t="s">
        <v>29</v>
      </c>
      <c r="D8" s="54">
        <v>0</v>
      </c>
      <c r="E8" s="59" t="s">
        <v>3</v>
      </c>
      <c r="F8" s="6" t="s">
        <v>48</v>
      </c>
      <c r="H8" s="41">
        <v>500</v>
      </c>
      <c r="J8" s="41">
        <v>1500</v>
      </c>
      <c r="N8" s="162"/>
      <c r="O8" s="166"/>
      <c r="P8" s="166"/>
      <c r="Q8" s="166"/>
      <c r="R8" s="166"/>
      <c r="S8" s="166"/>
      <c r="T8" s="166"/>
      <c r="U8" s="166"/>
      <c r="V8" s="166"/>
      <c r="W8" s="163">
        <f t="shared" si="0"/>
        <v>0</v>
      </c>
      <c r="X8" s="164">
        <f t="shared" si="1"/>
        <v>0</v>
      </c>
      <c r="Y8" s="167"/>
      <c r="Z8" s="164">
        <f t="shared" si="2"/>
        <v>0</v>
      </c>
      <c r="AA8" s="167"/>
    </row>
    <row r="9" spans="2:28" x14ac:dyDescent="0.2">
      <c r="B9" s="6">
        <f>B8+1</f>
        <v>105</v>
      </c>
      <c r="C9" s="31" t="s">
        <v>289</v>
      </c>
      <c r="D9" s="54">
        <v>0</v>
      </c>
      <c r="E9" s="59" t="s">
        <v>3</v>
      </c>
      <c r="F9" s="6" t="s">
        <v>48</v>
      </c>
      <c r="H9" s="41">
        <v>2500</v>
      </c>
      <c r="J9" s="41">
        <v>6000</v>
      </c>
      <c r="N9" s="162"/>
      <c r="O9" s="166"/>
      <c r="P9" s="166"/>
      <c r="Q9" s="166"/>
      <c r="R9" s="166"/>
      <c r="S9" s="166"/>
      <c r="T9" s="166"/>
      <c r="U9" s="166"/>
      <c r="V9" s="166"/>
      <c r="W9" s="163">
        <f t="shared" si="0"/>
        <v>0</v>
      </c>
      <c r="X9" s="164">
        <f t="shared" si="1"/>
        <v>0</v>
      </c>
      <c r="Y9" s="167"/>
      <c r="Z9" s="164">
        <f t="shared" si="2"/>
        <v>0</v>
      </c>
      <c r="AA9" s="167"/>
    </row>
    <row r="10" spans="2:28" x14ac:dyDescent="0.2">
      <c r="B10" s="6">
        <f>B9+1</f>
        <v>106</v>
      </c>
      <c r="C10" s="31" t="s">
        <v>34</v>
      </c>
      <c r="D10" s="54">
        <v>0</v>
      </c>
      <c r="E10" s="59" t="s">
        <v>5</v>
      </c>
      <c r="F10" s="6" t="s">
        <v>48</v>
      </c>
      <c r="H10" s="81">
        <v>0</v>
      </c>
      <c r="I10" s="210" t="s">
        <v>192</v>
      </c>
      <c r="J10" s="210"/>
      <c r="N10" s="162"/>
      <c r="O10" s="166"/>
      <c r="P10" s="166"/>
      <c r="Q10" s="166"/>
      <c r="R10" s="166"/>
      <c r="S10" s="166"/>
      <c r="T10" s="166"/>
      <c r="U10" s="166"/>
      <c r="V10" s="166"/>
      <c r="W10" s="163">
        <f t="shared" si="0"/>
        <v>0</v>
      </c>
      <c r="X10" s="164">
        <f t="shared" si="1"/>
        <v>0</v>
      </c>
      <c r="Y10" s="167"/>
      <c r="Z10" s="164">
        <f t="shared" si="2"/>
        <v>0</v>
      </c>
      <c r="AA10" s="167"/>
    </row>
    <row r="11" spans="2:28" x14ac:dyDescent="0.2">
      <c r="B11" s="6">
        <v>107</v>
      </c>
      <c r="C11" s="31" t="s">
        <v>18</v>
      </c>
      <c r="D11" s="54">
        <v>0</v>
      </c>
      <c r="E11" s="59"/>
      <c r="F11" s="6" t="s">
        <v>48</v>
      </c>
      <c r="N11" s="162"/>
      <c r="O11" s="166"/>
      <c r="P11" s="166"/>
      <c r="Q11" s="166"/>
      <c r="R11" s="166"/>
      <c r="S11" s="166"/>
      <c r="T11" s="166"/>
      <c r="U11" s="166"/>
      <c r="V11" s="166"/>
      <c r="W11" s="163">
        <f t="shared" si="0"/>
        <v>0</v>
      </c>
      <c r="X11" s="164">
        <f t="shared" si="1"/>
        <v>0</v>
      </c>
      <c r="Y11" s="167"/>
      <c r="Z11" s="164">
        <f t="shared" si="2"/>
        <v>0</v>
      </c>
      <c r="AA11" s="167"/>
    </row>
    <row r="12" spans="2:28" s="36" customFormat="1" x14ac:dyDescent="0.2">
      <c r="B12" s="63"/>
      <c r="C12" s="56" t="s">
        <v>36</v>
      </c>
      <c r="D12" s="64">
        <f>SUBTOTAL(109,D4:D11)</f>
        <v>0</v>
      </c>
      <c r="E12" s="65"/>
      <c r="F12" s="63"/>
      <c r="G12" s="5"/>
      <c r="H12" s="46"/>
      <c r="I12" s="46"/>
      <c r="J12" s="46"/>
      <c r="K12" s="35"/>
      <c r="L12" s="33"/>
      <c r="M12" s="33"/>
      <c r="N12" s="175">
        <f t="shared" ref="N12:AA12" si="3">SUBTOTAL(109,N4:N11)</f>
        <v>0</v>
      </c>
      <c r="O12" s="168">
        <f t="shared" si="3"/>
        <v>0</v>
      </c>
      <c r="P12" s="168">
        <f t="shared" si="3"/>
        <v>0</v>
      </c>
      <c r="Q12" s="168">
        <f t="shared" si="3"/>
        <v>0</v>
      </c>
      <c r="R12" s="168">
        <f t="shared" si="3"/>
        <v>0</v>
      </c>
      <c r="S12" s="168">
        <f t="shared" si="3"/>
        <v>0</v>
      </c>
      <c r="T12" s="168">
        <f t="shared" si="3"/>
        <v>0</v>
      </c>
      <c r="U12" s="168">
        <f t="shared" si="3"/>
        <v>0</v>
      </c>
      <c r="V12" s="168">
        <f t="shared" si="3"/>
        <v>0</v>
      </c>
      <c r="W12" s="168">
        <f t="shared" si="3"/>
        <v>0</v>
      </c>
      <c r="X12" s="169">
        <f t="shared" si="3"/>
        <v>0</v>
      </c>
      <c r="Y12" s="169">
        <f t="shared" si="3"/>
        <v>0</v>
      </c>
      <c r="Z12" s="169">
        <f t="shared" si="3"/>
        <v>0</v>
      </c>
      <c r="AA12" s="169">
        <f t="shared" si="3"/>
        <v>0</v>
      </c>
    </row>
    <row r="13" spans="2:28" x14ac:dyDescent="0.2">
      <c r="B13" s="91">
        <v>200</v>
      </c>
      <c r="C13" s="66" t="s">
        <v>111</v>
      </c>
      <c r="D13" s="67">
        <v>0</v>
      </c>
      <c r="E13" s="68"/>
      <c r="F13" s="68"/>
      <c r="G13" s="29"/>
      <c r="H13" s="46" t="s">
        <v>423</v>
      </c>
      <c r="K13" s="30"/>
      <c r="N13" s="162"/>
      <c r="O13" s="163"/>
      <c r="P13" s="163"/>
      <c r="Q13" s="163"/>
      <c r="R13" s="163"/>
      <c r="S13" s="163"/>
      <c r="T13" s="163"/>
      <c r="U13" s="163"/>
      <c r="V13" s="163"/>
      <c r="W13" s="163"/>
      <c r="X13" s="164"/>
      <c r="Y13" s="165"/>
      <c r="Z13" s="165"/>
      <c r="AA13" s="165"/>
    </row>
    <row r="14" spans="2:28" x14ac:dyDescent="0.2">
      <c r="B14" s="6">
        <v>201</v>
      </c>
      <c r="C14" s="31" t="s">
        <v>51</v>
      </c>
      <c r="D14" s="54">
        <v>0</v>
      </c>
      <c r="E14" s="60" t="s">
        <v>142</v>
      </c>
      <c r="F14" s="6" t="s">
        <v>48</v>
      </c>
      <c r="H14" s="46" t="s">
        <v>378</v>
      </c>
      <c r="N14" s="162"/>
      <c r="O14" s="166"/>
      <c r="P14" s="166"/>
      <c r="Q14" s="166"/>
      <c r="R14" s="166"/>
      <c r="S14" s="166"/>
      <c r="T14" s="166"/>
      <c r="U14" s="166"/>
      <c r="V14" s="166"/>
      <c r="W14" s="163">
        <f>SUM(O14:V14)</f>
        <v>0</v>
      </c>
      <c r="X14" s="164">
        <f>$O14*$O$3+$P14*$P$3+$Q14*$Q$3+$R14*$R$3+$S14*$S$3+$T14*$T$3+$U14*$U$3+$V14*$V$3</f>
        <v>0</v>
      </c>
      <c r="Y14" s="167"/>
      <c r="Z14" s="164">
        <f t="shared" ref="Z14:Z24" si="4">SUM(X14:Y14)</f>
        <v>0</v>
      </c>
      <c r="AA14" s="167"/>
    </row>
    <row r="15" spans="2:28" x14ac:dyDescent="0.2">
      <c r="B15" s="6">
        <v>202</v>
      </c>
      <c r="C15" s="31" t="s">
        <v>7</v>
      </c>
      <c r="D15" s="54">
        <v>0</v>
      </c>
      <c r="E15" s="60" t="s">
        <v>142</v>
      </c>
      <c r="F15" s="6" t="s">
        <v>48</v>
      </c>
      <c r="K15" s="41"/>
      <c r="N15" s="162"/>
      <c r="O15" s="166"/>
      <c r="P15" s="166"/>
      <c r="Q15" s="166"/>
      <c r="R15" s="166"/>
      <c r="S15" s="166"/>
      <c r="T15" s="166"/>
      <c r="U15" s="166"/>
      <c r="V15" s="166"/>
      <c r="W15" s="163">
        <f>SUM(O15:V15)</f>
        <v>0</v>
      </c>
      <c r="X15" s="164">
        <f>$O15*$O$3+$P15*$P$3+$Q15*$Q$3+$R15*$R$3+$S15*$S$3+$T15*$T$3+$U15*$U$3+$V15*$V$3</f>
        <v>0</v>
      </c>
      <c r="Y15" s="167"/>
      <c r="Z15" s="164">
        <f t="shared" si="4"/>
        <v>0</v>
      </c>
      <c r="AA15" s="167"/>
    </row>
    <row r="16" spans="2:28" x14ac:dyDescent="0.2">
      <c r="B16" s="6">
        <f>B15+1</f>
        <v>203</v>
      </c>
      <c r="C16" s="31" t="s">
        <v>8</v>
      </c>
      <c r="D16" s="54">
        <v>0</v>
      </c>
      <c r="E16" s="59" t="s">
        <v>3</v>
      </c>
      <c r="F16" s="6" t="s">
        <v>48</v>
      </c>
      <c r="K16" s="41"/>
      <c r="N16" s="162"/>
      <c r="O16" s="166"/>
      <c r="P16" s="166"/>
      <c r="Q16" s="166"/>
      <c r="R16" s="166"/>
      <c r="S16" s="166"/>
      <c r="T16" s="166"/>
      <c r="U16" s="166"/>
      <c r="V16" s="166"/>
      <c r="W16" s="163">
        <f>SUM(O16:V16)</f>
        <v>0</v>
      </c>
      <c r="X16" s="164">
        <f>$O16*$O$3+$P16*$P$3+$Q16*$Q$3+$R16*$R$3+$S16*$S$3+$T16*$T$3+$U16*$U$3+$V16*$V$3</f>
        <v>0</v>
      </c>
      <c r="Y16" s="167"/>
      <c r="Z16" s="164">
        <f t="shared" si="4"/>
        <v>0</v>
      </c>
      <c r="AA16" s="167"/>
    </row>
    <row r="17" spans="2:27" x14ac:dyDescent="0.2">
      <c r="B17" s="6">
        <f t="shared" ref="B17:B24" si="5">B16+1</f>
        <v>204</v>
      </c>
      <c r="C17" s="31" t="s">
        <v>194</v>
      </c>
      <c r="D17" s="54">
        <v>0</v>
      </c>
      <c r="E17" s="59" t="s">
        <v>3</v>
      </c>
      <c r="F17" s="6" t="s">
        <v>48</v>
      </c>
      <c r="K17" s="41"/>
      <c r="N17" s="162"/>
      <c r="O17" s="166"/>
      <c r="P17" s="166"/>
      <c r="Q17" s="166"/>
      <c r="R17" s="166"/>
      <c r="S17" s="166"/>
      <c r="T17" s="166"/>
      <c r="U17" s="166"/>
      <c r="V17" s="166"/>
      <c r="W17" s="163">
        <f>SUM(O17:V17)</f>
        <v>0</v>
      </c>
      <c r="X17" s="164">
        <f>$O17*$O$3+$P17*$P$3+$Q17*$Q$3+$R17*$R$3+$S17*$S$3+$T17*$T$3+$U17*$U$3+$V17*$V$3</f>
        <v>0</v>
      </c>
      <c r="Y17" s="167"/>
      <c r="Z17" s="164">
        <f t="shared" si="4"/>
        <v>0</v>
      </c>
      <c r="AA17" s="167"/>
    </row>
    <row r="18" spans="2:27" x14ac:dyDescent="0.2">
      <c r="B18" s="6">
        <f t="shared" si="5"/>
        <v>205</v>
      </c>
      <c r="C18" s="31" t="s">
        <v>9</v>
      </c>
      <c r="D18" s="54">
        <f>$K18*Acres</f>
        <v>0</v>
      </c>
      <c r="E18" s="59" t="s">
        <v>3</v>
      </c>
      <c r="F18" s="6" t="s">
        <v>48</v>
      </c>
      <c r="K18" s="41"/>
      <c r="N18" s="162"/>
      <c r="O18" s="166"/>
      <c r="P18" s="166"/>
      <c r="Q18" s="166"/>
      <c r="R18" s="166"/>
      <c r="S18" s="166"/>
      <c r="T18" s="166"/>
      <c r="U18" s="166"/>
      <c r="V18" s="166"/>
      <c r="W18" s="163">
        <f>SUM(O18:V18)</f>
        <v>0</v>
      </c>
      <c r="X18" s="164">
        <f>$O18*$O$3+$P18*$P$3+$Q18*$Q$3+$R18*$R$3+$S18*$S$3+$T18*$T$3+$U18*$U$3+$V18*$V$3</f>
        <v>0</v>
      </c>
      <c r="Y18" s="167"/>
      <c r="Z18" s="164">
        <f t="shared" si="4"/>
        <v>0</v>
      </c>
      <c r="AA18" s="167"/>
    </row>
    <row r="19" spans="2:27" x14ac:dyDescent="0.2">
      <c r="B19" s="6">
        <f t="shared" si="5"/>
        <v>206</v>
      </c>
      <c r="C19" s="31" t="s">
        <v>10</v>
      </c>
      <c r="D19" s="54">
        <v>0</v>
      </c>
      <c r="E19" s="60" t="s">
        <v>142</v>
      </c>
      <c r="F19" s="6" t="s">
        <v>49</v>
      </c>
      <c r="N19" s="162"/>
      <c r="O19" s="166"/>
      <c r="P19" s="166"/>
      <c r="Q19" s="166"/>
      <c r="R19" s="166"/>
      <c r="S19" s="166"/>
      <c r="T19" s="166"/>
      <c r="U19" s="166"/>
      <c r="V19" s="166"/>
      <c r="W19" s="163">
        <f t="shared" ref="W19:W24" si="6">SUM(O19:V19)</f>
        <v>0</v>
      </c>
      <c r="X19" s="164">
        <f t="shared" ref="X19:X24" si="7">$O19*$O$3+$P19*$P$3+$Q19*$Q$3+$R19*$R$3+$S19*$S$3+$T19*$T$3+$U19*$U$3+$V19*$V$3</f>
        <v>0</v>
      </c>
      <c r="Y19" s="167"/>
      <c r="Z19" s="164">
        <f t="shared" si="4"/>
        <v>0</v>
      </c>
      <c r="AA19" s="167"/>
    </row>
    <row r="20" spans="2:27" x14ac:dyDescent="0.2">
      <c r="B20" s="6">
        <f t="shared" si="5"/>
        <v>207</v>
      </c>
      <c r="C20" s="31" t="s">
        <v>11</v>
      </c>
      <c r="D20" s="54">
        <v>0</v>
      </c>
      <c r="E20" s="60" t="s">
        <v>142</v>
      </c>
      <c r="F20" s="6" t="s">
        <v>50</v>
      </c>
      <c r="N20" s="162"/>
      <c r="O20" s="166"/>
      <c r="P20" s="166"/>
      <c r="Q20" s="166"/>
      <c r="R20" s="166"/>
      <c r="S20" s="166"/>
      <c r="T20" s="166"/>
      <c r="U20" s="166"/>
      <c r="V20" s="166"/>
      <c r="W20" s="163">
        <f t="shared" si="6"/>
        <v>0</v>
      </c>
      <c r="X20" s="164">
        <f t="shared" si="7"/>
        <v>0</v>
      </c>
      <c r="Y20" s="167"/>
      <c r="Z20" s="164">
        <f t="shared" si="4"/>
        <v>0</v>
      </c>
      <c r="AA20" s="167"/>
    </row>
    <row r="21" spans="2:27" x14ac:dyDescent="0.2">
      <c r="B21" s="6">
        <f t="shared" si="5"/>
        <v>208</v>
      </c>
      <c r="C21" s="31" t="s">
        <v>19</v>
      </c>
      <c r="D21" s="54">
        <v>0</v>
      </c>
      <c r="E21" s="60" t="s">
        <v>142</v>
      </c>
      <c r="F21" s="6" t="s">
        <v>50</v>
      </c>
      <c r="N21" s="162"/>
      <c r="O21" s="166"/>
      <c r="P21" s="166"/>
      <c r="Q21" s="166"/>
      <c r="R21" s="166"/>
      <c r="S21" s="166"/>
      <c r="T21" s="166"/>
      <c r="U21" s="166"/>
      <c r="V21" s="166"/>
      <c r="W21" s="163">
        <f t="shared" si="6"/>
        <v>0</v>
      </c>
      <c r="X21" s="164">
        <f t="shared" si="7"/>
        <v>0</v>
      </c>
      <c r="Y21" s="167"/>
      <c r="Z21" s="164">
        <f t="shared" si="4"/>
        <v>0</v>
      </c>
      <c r="AA21" s="167"/>
    </row>
    <row r="22" spans="2:27" x14ac:dyDescent="0.2">
      <c r="B22" s="6">
        <f t="shared" si="5"/>
        <v>209</v>
      </c>
      <c r="C22" s="31" t="s">
        <v>20</v>
      </c>
      <c r="D22" s="54">
        <v>0</v>
      </c>
      <c r="E22" s="60" t="s">
        <v>142</v>
      </c>
      <c r="F22" s="6" t="s">
        <v>49</v>
      </c>
      <c r="N22" s="162"/>
      <c r="O22" s="166"/>
      <c r="P22" s="166"/>
      <c r="Q22" s="166"/>
      <c r="R22" s="166"/>
      <c r="S22" s="166"/>
      <c r="T22" s="166"/>
      <c r="U22" s="166"/>
      <c r="V22" s="166"/>
      <c r="W22" s="163">
        <f t="shared" si="6"/>
        <v>0</v>
      </c>
      <c r="X22" s="164">
        <f t="shared" si="7"/>
        <v>0</v>
      </c>
      <c r="Y22" s="167"/>
      <c r="Z22" s="164">
        <f t="shared" si="4"/>
        <v>0</v>
      </c>
      <c r="AA22" s="167"/>
    </row>
    <row r="23" spans="2:27" x14ac:dyDescent="0.2">
      <c r="B23" s="6">
        <f t="shared" si="5"/>
        <v>210</v>
      </c>
      <c r="C23" s="31" t="s">
        <v>81</v>
      </c>
      <c r="D23" s="54">
        <v>0</v>
      </c>
      <c r="E23" s="60" t="s">
        <v>142</v>
      </c>
      <c r="F23" s="6" t="s">
        <v>49</v>
      </c>
      <c r="N23" s="162"/>
      <c r="O23" s="166"/>
      <c r="P23" s="166"/>
      <c r="Q23" s="166"/>
      <c r="R23" s="166"/>
      <c r="S23" s="166"/>
      <c r="T23" s="166"/>
      <c r="U23" s="166"/>
      <c r="V23" s="166"/>
      <c r="W23" s="163">
        <f t="shared" si="6"/>
        <v>0</v>
      </c>
      <c r="X23" s="164">
        <f t="shared" si="7"/>
        <v>0</v>
      </c>
      <c r="Y23" s="167"/>
      <c r="Z23" s="164">
        <f t="shared" si="4"/>
        <v>0</v>
      </c>
      <c r="AA23" s="167"/>
    </row>
    <row r="24" spans="2:27" x14ac:dyDescent="0.2">
      <c r="B24" s="6">
        <f t="shared" si="5"/>
        <v>211</v>
      </c>
      <c r="C24" s="31" t="s">
        <v>18</v>
      </c>
      <c r="D24" s="54">
        <v>0</v>
      </c>
      <c r="E24" s="59"/>
      <c r="F24" s="6" t="s">
        <v>48</v>
      </c>
      <c r="N24" s="162"/>
      <c r="O24" s="166"/>
      <c r="P24" s="166"/>
      <c r="Q24" s="166"/>
      <c r="R24" s="166"/>
      <c r="S24" s="166"/>
      <c r="T24" s="166"/>
      <c r="U24" s="166"/>
      <c r="V24" s="166"/>
      <c r="W24" s="163">
        <f t="shared" si="6"/>
        <v>0</v>
      </c>
      <c r="X24" s="164">
        <f t="shared" si="7"/>
        <v>0</v>
      </c>
      <c r="Y24" s="167"/>
      <c r="Z24" s="164">
        <f t="shared" si="4"/>
        <v>0</v>
      </c>
      <c r="AA24" s="167"/>
    </row>
    <row r="25" spans="2:27" s="36" customFormat="1" x14ac:dyDescent="0.2">
      <c r="B25" s="63"/>
      <c r="C25" s="56" t="s">
        <v>36</v>
      </c>
      <c r="D25" s="64">
        <f>SUBTOTAL(109,D13:D24)</f>
        <v>0</v>
      </c>
      <c r="E25" s="65"/>
      <c r="F25" s="63"/>
      <c r="G25" s="5"/>
      <c r="H25" s="46"/>
      <c r="I25" s="46"/>
      <c r="J25" s="46"/>
      <c r="K25" s="35"/>
      <c r="L25" s="33"/>
      <c r="M25" s="33"/>
      <c r="N25" s="175">
        <f t="shared" ref="N25:AA25" si="8">SUBTOTAL(109,N13:N24)</f>
        <v>0</v>
      </c>
      <c r="O25" s="168">
        <f t="shared" si="8"/>
        <v>0</v>
      </c>
      <c r="P25" s="168">
        <f t="shared" si="8"/>
        <v>0</v>
      </c>
      <c r="Q25" s="168">
        <f t="shared" si="8"/>
        <v>0</v>
      </c>
      <c r="R25" s="168">
        <f t="shared" si="8"/>
        <v>0</v>
      </c>
      <c r="S25" s="168">
        <f t="shared" si="8"/>
        <v>0</v>
      </c>
      <c r="T25" s="168">
        <f t="shared" si="8"/>
        <v>0</v>
      </c>
      <c r="U25" s="168">
        <f t="shared" si="8"/>
        <v>0</v>
      </c>
      <c r="V25" s="168">
        <f t="shared" si="8"/>
        <v>0</v>
      </c>
      <c r="W25" s="168">
        <f t="shared" si="8"/>
        <v>0</v>
      </c>
      <c r="X25" s="169">
        <f t="shared" si="8"/>
        <v>0</v>
      </c>
      <c r="Y25" s="169">
        <f t="shared" si="8"/>
        <v>0</v>
      </c>
      <c r="Z25" s="169">
        <f t="shared" si="8"/>
        <v>0</v>
      </c>
      <c r="AA25" s="169">
        <f t="shared" si="8"/>
        <v>0</v>
      </c>
    </row>
    <row r="26" spans="2:27" x14ac:dyDescent="0.2">
      <c r="B26" s="91">
        <v>300</v>
      </c>
      <c r="C26" s="66" t="s">
        <v>86</v>
      </c>
      <c r="D26" s="67">
        <v>0</v>
      </c>
      <c r="E26" s="68"/>
      <c r="F26" s="68"/>
      <c r="G26" s="29"/>
      <c r="H26" s="45"/>
      <c r="K26" s="30"/>
      <c r="N26" s="162"/>
      <c r="O26" s="163"/>
      <c r="P26" s="163"/>
      <c r="Q26" s="163"/>
      <c r="R26" s="163"/>
      <c r="S26" s="163"/>
      <c r="T26" s="163"/>
      <c r="U26" s="163"/>
      <c r="V26" s="163"/>
      <c r="W26" s="163"/>
      <c r="X26" s="164"/>
      <c r="Y26" s="165"/>
      <c r="Z26" s="165"/>
      <c r="AA26" s="165"/>
    </row>
    <row r="27" spans="2:27" x14ac:dyDescent="0.2">
      <c r="B27" s="6">
        <v>301</v>
      </c>
      <c r="C27" s="31" t="s">
        <v>17</v>
      </c>
      <c r="D27" s="54">
        <v>0</v>
      </c>
      <c r="E27" s="59" t="s">
        <v>3</v>
      </c>
      <c r="F27" s="6" t="s">
        <v>49</v>
      </c>
      <c r="H27" s="41">
        <v>2500</v>
      </c>
      <c r="I27" s="41">
        <v>5000</v>
      </c>
      <c r="J27" s="41">
        <v>6500</v>
      </c>
      <c r="N27" s="162"/>
      <c r="O27" s="166"/>
      <c r="P27" s="166"/>
      <c r="Q27" s="166"/>
      <c r="R27" s="166"/>
      <c r="S27" s="166"/>
      <c r="T27" s="166"/>
      <c r="U27" s="166"/>
      <c r="V27" s="166"/>
      <c r="W27" s="163">
        <f t="shared" ref="W27:W35" si="9">SUM(O27:V27)</f>
        <v>0</v>
      </c>
      <c r="X27" s="164">
        <f t="shared" ref="X27:X35" si="10">$O27*$O$3+$P27*$P$3+$Q27*$Q$3+$R27*$R$3+$S27*$S$3+$T27*$T$3+$U27*$U$3+$V27*$V$3</f>
        <v>0</v>
      </c>
      <c r="Y27" s="167"/>
      <c r="Z27" s="165">
        <f t="shared" ref="Z27:Z35" si="11">SUM(X27:Y27)</f>
        <v>0</v>
      </c>
      <c r="AA27" s="167"/>
    </row>
    <row r="28" spans="2:27" x14ac:dyDescent="0.2">
      <c r="B28" s="6">
        <f>B27+1</f>
        <v>302</v>
      </c>
      <c r="C28" s="31" t="s">
        <v>21</v>
      </c>
      <c r="D28" s="54">
        <v>0</v>
      </c>
      <c r="E28" s="59" t="s">
        <v>3</v>
      </c>
      <c r="F28" s="6" t="s">
        <v>49</v>
      </c>
      <c r="H28" s="41">
        <v>4500</v>
      </c>
      <c r="I28" s="41">
        <v>5000</v>
      </c>
      <c r="J28" s="41">
        <v>8500</v>
      </c>
      <c r="N28" s="162"/>
      <c r="O28" s="166"/>
      <c r="P28" s="166"/>
      <c r="Q28" s="166"/>
      <c r="R28" s="166"/>
      <c r="S28" s="166"/>
      <c r="T28" s="166"/>
      <c r="U28" s="166"/>
      <c r="V28" s="166"/>
      <c r="W28" s="163">
        <f t="shared" si="9"/>
        <v>0</v>
      </c>
      <c r="X28" s="164">
        <f t="shared" si="10"/>
        <v>0</v>
      </c>
      <c r="Y28" s="167"/>
      <c r="Z28" s="165">
        <f t="shared" si="11"/>
        <v>0</v>
      </c>
      <c r="AA28" s="167"/>
    </row>
    <row r="29" spans="2:27" x14ac:dyDescent="0.2">
      <c r="B29" s="6">
        <f t="shared" ref="B29:B35" si="12">B28+1</f>
        <v>303</v>
      </c>
      <c r="C29" s="31" t="s">
        <v>32</v>
      </c>
      <c r="D29" s="54">
        <v>0</v>
      </c>
      <c r="E29" s="59" t="s">
        <v>3</v>
      </c>
      <c r="F29" s="6" t="s">
        <v>50</v>
      </c>
      <c r="H29" s="41">
        <v>4500</v>
      </c>
      <c r="I29" s="41">
        <v>6000</v>
      </c>
      <c r="J29" s="41">
        <v>8500</v>
      </c>
      <c r="N29" s="162"/>
      <c r="O29" s="166"/>
      <c r="P29" s="166"/>
      <c r="Q29" s="166"/>
      <c r="R29" s="166"/>
      <c r="S29" s="166"/>
      <c r="T29" s="166"/>
      <c r="U29" s="166"/>
      <c r="V29" s="166"/>
      <c r="W29" s="163">
        <f t="shared" si="9"/>
        <v>0</v>
      </c>
      <c r="X29" s="164">
        <f t="shared" si="10"/>
        <v>0</v>
      </c>
      <c r="Y29" s="167"/>
      <c r="Z29" s="165">
        <f t="shared" si="11"/>
        <v>0</v>
      </c>
      <c r="AA29" s="167"/>
    </row>
    <row r="30" spans="2:27" x14ac:dyDescent="0.2">
      <c r="B30" s="6">
        <f t="shared" si="12"/>
        <v>304</v>
      </c>
      <c r="C30" s="31" t="s">
        <v>31</v>
      </c>
      <c r="D30" s="54">
        <f>EstHrlyRt*$H30</f>
        <v>0</v>
      </c>
      <c r="E30" s="59" t="s">
        <v>5</v>
      </c>
      <c r="F30" s="34" t="s">
        <v>49</v>
      </c>
      <c r="H30" s="81">
        <v>0</v>
      </c>
      <c r="I30" s="81" t="s">
        <v>83</v>
      </c>
      <c r="J30" s="81"/>
      <c r="N30" s="162"/>
      <c r="O30" s="166"/>
      <c r="P30" s="166"/>
      <c r="Q30" s="166"/>
      <c r="R30" s="166"/>
      <c r="S30" s="166"/>
      <c r="T30" s="166"/>
      <c r="U30" s="166"/>
      <c r="V30" s="166"/>
      <c r="W30" s="163">
        <f t="shared" si="9"/>
        <v>0</v>
      </c>
      <c r="X30" s="164">
        <f t="shared" si="10"/>
        <v>0</v>
      </c>
      <c r="Y30" s="167"/>
      <c r="Z30" s="165">
        <f t="shared" si="11"/>
        <v>0</v>
      </c>
      <c r="AA30" s="167"/>
    </row>
    <row r="31" spans="2:27" ht="25.5" x14ac:dyDescent="0.2">
      <c r="B31" s="6">
        <f t="shared" si="12"/>
        <v>305</v>
      </c>
      <c r="C31" s="31" t="s">
        <v>106</v>
      </c>
      <c r="D31" s="54">
        <f>EstHrlyRt*$H31</f>
        <v>0</v>
      </c>
      <c r="E31" s="59" t="s">
        <v>5</v>
      </c>
      <c r="F31" s="6" t="s">
        <v>49</v>
      </c>
      <c r="H31" s="81">
        <v>0</v>
      </c>
      <c r="I31" s="81" t="s">
        <v>83</v>
      </c>
      <c r="J31" s="81"/>
      <c r="N31" s="162"/>
      <c r="O31" s="166"/>
      <c r="P31" s="166"/>
      <c r="Q31" s="166"/>
      <c r="R31" s="166"/>
      <c r="S31" s="166"/>
      <c r="T31" s="166"/>
      <c r="U31" s="166"/>
      <c r="V31" s="166"/>
      <c r="W31" s="163">
        <f t="shared" si="9"/>
        <v>0</v>
      </c>
      <c r="X31" s="164">
        <f t="shared" si="10"/>
        <v>0</v>
      </c>
      <c r="Y31" s="167"/>
      <c r="Z31" s="165">
        <f t="shared" si="11"/>
        <v>0</v>
      </c>
      <c r="AA31" s="167"/>
    </row>
    <row r="32" spans="2:27" x14ac:dyDescent="0.2">
      <c r="B32" s="6">
        <f t="shared" si="12"/>
        <v>306</v>
      </c>
      <c r="C32" s="31" t="s">
        <v>107</v>
      </c>
      <c r="D32" s="54">
        <f>EstHrlyRt*$H32</f>
        <v>0</v>
      </c>
      <c r="E32" s="59" t="s">
        <v>5</v>
      </c>
      <c r="F32" s="6" t="s">
        <v>49</v>
      </c>
      <c r="H32" s="81">
        <v>0</v>
      </c>
      <c r="I32" s="81" t="s">
        <v>83</v>
      </c>
      <c r="J32" s="81"/>
      <c r="N32" s="162"/>
      <c r="O32" s="166"/>
      <c r="P32" s="166"/>
      <c r="Q32" s="166"/>
      <c r="R32" s="166"/>
      <c r="S32" s="166"/>
      <c r="T32" s="166"/>
      <c r="U32" s="166"/>
      <c r="V32" s="166"/>
      <c r="W32" s="163">
        <f t="shared" si="9"/>
        <v>0</v>
      </c>
      <c r="X32" s="164">
        <f t="shared" si="10"/>
        <v>0</v>
      </c>
      <c r="Y32" s="167"/>
      <c r="Z32" s="165">
        <f t="shared" si="11"/>
        <v>0</v>
      </c>
      <c r="AA32" s="167"/>
    </row>
    <row r="33" spans="2:27" x14ac:dyDescent="0.2">
      <c r="B33" s="6">
        <f t="shared" si="12"/>
        <v>307</v>
      </c>
      <c r="C33" s="31" t="s">
        <v>33</v>
      </c>
      <c r="D33" s="54">
        <f>EstHrlyRt*$H33</f>
        <v>0</v>
      </c>
      <c r="E33" s="59" t="s">
        <v>5</v>
      </c>
      <c r="F33" s="6" t="s">
        <v>49</v>
      </c>
      <c r="H33" s="81">
        <v>0</v>
      </c>
      <c r="I33" s="81" t="s">
        <v>83</v>
      </c>
      <c r="J33" s="81"/>
      <c r="N33" s="162"/>
      <c r="O33" s="166"/>
      <c r="P33" s="166"/>
      <c r="Q33" s="166"/>
      <c r="R33" s="166"/>
      <c r="S33" s="166"/>
      <c r="T33" s="166"/>
      <c r="U33" s="166"/>
      <c r="V33" s="166"/>
      <c r="W33" s="163">
        <f t="shared" si="9"/>
        <v>0</v>
      </c>
      <c r="X33" s="164">
        <f t="shared" si="10"/>
        <v>0</v>
      </c>
      <c r="Y33" s="167"/>
      <c r="Z33" s="165">
        <f t="shared" si="11"/>
        <v>0</v>
      </c>
      <c r="AA33" s="167"/>
    </row>
    <row r="34" spans="2:27" x14ac:dyDescent="0.2">
      <c r="B34" s="6">
        <f t="shared" si="12"/>
        <v>308</v>
      </c>
      <c r="C34" s="31" t="s">
        <v>52</v>
      </c>
      <c r="D34" s="54">
        <f>EstHrlyRt*$H34</f>
        <v>0</v>
      </c>
      <c r="E34" s="59" t="s">
        <v>5</v>
      </c>
      <c r="F34" s="6" t="s">
        <v>49</v>
      </c>
      <c r="H34" s="81">
        <v>0</v>
      </c>
      <c r="I34" s="81" t="s">
        <v>83</v>
      </c>
      <c r="J34" s="81"/>
      <c r="N34" s="162"/>
      <c r="O34" s="166"/>
      <c r="P34" s="166"/>
      <c r="Q34" s="166"/>
      <c r="R34" s="166"/>
      <c r="S34" s="166"/>
      <c r="T34" s="166"/>
      <c r="U34" s="166"/>
      <c r="V34" s="166"/>
      <c r="W34" s="163">
        <f t="shared" si="9"/>
        <v>0</v>
      </c>
      <c r="X34" s="164">
        <f t="shared" si="10"/>
        <v>0</v>
      </c>
      <c r="Y34" s="167"/>
      <c r="Z34" s="165">
        <f t="shared" si="11"/>
        <v>0</v>
      </c>
      <c r="AA34" s="167"/>
    </row>
    <row r="35" spans="2:27" x14ac:dyDescent="0.2">
      <c r="B35" s="6">
        <f t="shared" si="12"/>
        <v>309</v>
      </c>
      <c r="C35" s="31" t="s">
        <v>18</v>
      </c>
      <c r="D35" s="54">
        <v>0</v>
      </c>
      <c r="E35" s="59"/>
      <c r="F35" s="6" t="s">
        <v>49</v>
      </c>
      <c r="N35" s="162"/>
      <c r="O35" s="166"/>
      <c r="P35" s="166"/>
      <c r="Q35" s="166"/>
      <c r="R35" s="166"/>
      <c r="S35" s="166"/>
      <c r="T35" s="166"/>
      <c r="U35" s="166"/>
      <c r="V35" s="166"/>
      <c r="W35" s="163">
        <f t="shared" si="9"/>
        <v>0</v>
      </c>
      <c r="X35" s="164">
        <f t="shared" si="10"/>
        <v>0</v>
      </c>
      <c r="Y35" s="167"/>
      <c r="Z35" s="165">
        <f t="shared" si="11"/>
        <v>0</v>
      </c>
      <c r="AA35" s="167"/>
    </row>
    <row r="36" spans="2:27" s="36" customFormat="1" x14ac:dyDescent="0.2">
      <c r="B36" s="63"/>
      <c r="C36" s="56" t="s">
        <v>36</v>
      </c>
      <c r="D36" s="64">
        <f>SUBTOTAL(109,D26:D35)</f>
        <v>0</v>
      </c>
      <c r="E36" s="65"/>
      <c r="F36" s="63"/>
      <c r="G36" s="5"/>
      <c r="H36" s="46"/>
      <c r="I36" s="46"/>
      <c r="J36" s="46"/>
      <c r="K36" s="35"/>
      <c r="L36" s="33"/>
      <c r="M36" s="33"/>
      <c r="N36" s="174">
        <f t="shared" ref="N36:AA36" si="13">SUBTOTAL(109,N26:N35)</f>
        <v>0</v>
      </c>
      <c r="O36" s="170">
        <f t="shared" si="13"/>
        <v>0</v>
      </c>
      <c r="P36" s="170">
        <f t="shared" si="13"/>
        <v>0</v>
      </c>
      <c r="Q36" s="170">
        <f t="shared" si="13"/>
        <v>0</v>
      </c>
      <c r="R36" s="170">
        <f t="shared" si="13"/>
        <v>0</v>
      </c>
      <c r="S36" s="170">
        <f t="shared" si="13"/>
        <v>0</v>
      </c>
      <c r="T36" s="170">
        <f t="shared" si="13"/>
        <v>0</v>
      </c>
      <c r="U36" s="170">
        <f t="shared" si="13"/>
        <v>0</v>
      </c>
      <c r="V36" s="170">
        <f t="shared" si="13"/>
        <v>0</v>
      </c>
      <c r="W36" s="170">
        <f t="shared" si="13"/>
        <v>0</v>
      </c>
      <c r="X36" s="171">
        <f t="shared" si="13"/>
        <v>0</v>
      </c>
      <c r="Y36" s="171">
        <f t="shared" si="13"/>
        <v>0</v>
      </c>
      <c r="Z36" s="171">
        <f t="shared" si="13"/>
        <v>0</v>
      </c>
      <c r="AA36" s="171">
        <f t="shared" si="13"/>
        <v>0</v>
      </c>
    </row>
    <row r="37" spans="2:27" x14ac:dyDescent="0.2">
      <c r="B37" s="91">
        <v>400</v>
      </c>
      <c r="C37" s="66" t="s">
        <v>84</v>
      </c>
      <c r="D37" s="67">
        <v>0</v>
      </c>
      <c r="E37" s="68"/>
      <c r="F37" s="68"/>
      <c r="G37" s="29"/>
      <c r="H37" s="45"/>
      <c r="K37" s="30" t="s">
        <v>88</v>
      </c>
      <c r="N37" s="162"/>
      <c r="O37" s="163"/>
      <c r="P37" s="163"/>
      <c r="Q37" s="163"/>
      <c r="R37" s="163"/>
      <c r="S37" s="163"/>
      <c r="T37" s="163"/>
      <c r="U37" s="163"/>
      <c r="V37" s="163"/>
      <c r="W37" s="163"/>
      <c r="X37" s="164"/>
      <c r="Y37" s="165"/>
      <c r="Z37" s="165"/>
      <c r="AA37" s="165"/>
    </row>
    <row r="38" spans="2:27" x14ac:dyDescent="0.2">
      <c r="B38" s="6">
        <v>401</v>
      </c>
      <c r="C38" s="31" t="s">
        <v>12</v>
      </c>
      <c r="D38" s="54">
        <f>EstHrlyRt*$H38</f>
        <v>0</v>
      </c>
      <c r="E38" s="59" t="s">
        <v>5</v>
      </c>
      <c r="F38" s="6" t="s">
        <v>49</v>
      </c>
      <c r="H38" s="81">
        <v>0</v>
      </c>
      <c r="I38" s="81" t="s">
        <v>83</v>
      </c>
      <c r="J38" s="81"/>
      <c r="N38" s="162"/>
      <c r="O38" s="166"/>
      <c r="P38" s="166"/>
      <c r="Q38" s="166"/>
      <c r="R38" s="166"/>
      <c r="S38" s="166"/>
      <c r="T38" s="166"/>
      <c r="U38" s="166"/>
      <c r="V38" s="166"/>
      <c r="W38" s="163">
        <f t="shared" ref="W38:W47" si="14">SUM(O38:V38)</f>
        <v>0</v>
      </c>
      <c r="X38" s="164">
        <f t="shared" ref="X38:X47" si="15">$O38*$O$3+$P38*$P$3+$Q38*$Q$3+$R38*$R$3+$S38*$S$3+$T38*$T$3+$U38*$U$3+$V38*$V$3</f>
        <v>0</v>
      </c>
      <c r="Y38" s="167"/>
      <c r="Z38" s="165">
        <f t="shared" ref="Z38:Z47" si="16">SUM(X38:Y38)</f>
        <v>0</v>
      </c>
      <c r="AA38" s="167"/>
    </row>
    <row r="39" spans="2:27" x14ac:dyDescent="0.2">
      <c r="B39" s="6">
        <f>B38+1</f>
        <v>402</v>
      </c>
      <c r="C39" s="31" t="s">
        <v>53</v>
      </c>
      <c r="D39" s="54">
        <v>0</v>
      </c>
      <c r="E39" s="59" t="s">
        <v>3</v>
      </c>
      <c r="F39" s="6" t="s">
        <v>50</v>
      </c>
      <c r="H39" s="41">
        <v>2500</v>
      </c>
      <c r="J39" s="41">
        <v>20000</v>
      </c>
      <c r="K39" s="22">
        <v>3</v>
      </c>
      <c r="N39" s="162"/>
      <c r="O39" s="166"/>
      <c r="P39" s="166"/>
      <c r="Q39" s="166"/>
      <c r="R39" s="166"/>
      <c r="S39" s="166"/>
      <c r="T39" s="166"/>
      <c r="U39" s="166"/>
      <c r="V39" s="166"/>
      <c r="W39" s="163">
        <f t="shared" si="14"/>
        <v>0</v>
      </c>
      <c r="X39" s="164">
        <f t="shared" si="15"/>
        <v>0</v>
      </c>
      <c r="Y39" s="167"/>
      <c r="Z39" s="165">
        <f t="shared" si="16"/>
        <v>0</v>
      </c>
      <c r="AA39" s="167"/>
    </row>
    <row r="40" spans="2:27" x14ac:dyDescent="0.2">
      <c r="B40" s="6">
        <f t="shared" ref="B40:B47" si="17">B39+1</f>
        <v>403</v>
      </c>
      <c r="C40" s="31" t="s">
        <v>54</v>
      </c>
      <c r="D40" s="54">
        <v>0</v>
      </c>
      <c r="E40" s="59" t="s">
        <v>3</v>
      </c>
      <c r="F40" s="6" t="s">
        <v>49</v>
      </c>
      <c r="H40" s="41" t="s">
        <v>82</v>
      </c>
      <c r="K40" s="22">
        <v>3</v>
      </c>
      <c r="N40" s="162"/>
      <c r="O40" s="166"/>
      <c r="P40" s="166"/>
      <c r="Q40" s="166"/>
      <c r="R40" s="166"/>
      <c r="S40" s="166"/>
      <c r="T40" s="166"/>
      <c r="U40" s="166"/>
      <c r="V40" s="166"/>
      <c r="W40" s="163">
        <f t="shared" si="14"/>
        <v>0</v>
      </c>
      <c r="X40" s="164">
        <f t="shared" si="15"/>
        <v>0</v>
      </c>
      <c r="Y40" s="167"/>
      <c r="Z40" s="165">
        <f t="shared" si="16"/>
        <v>0</v>
      </c>
      <c r="AA40" s="167"/>
    </row>
    <row r="41" spans="2:27" x14ac:dyDescent="0.2">
      <c r="B41" s="6">
        <f t="shared" si="17"/>
        <v>404</v>
      </c>
      <c r="C41" s="31" t="s">
        <v>55</v>
      </c>
      <c r="D41" s="54">
        <v>0</v>
      </c>
      <c r="E41" s="59" t="s">
        <v>3</v>
      </c>
      <c r="F41" s="6" t="s">
        <v>50</v>
      </c>
      <c r="H41" s="41" t="s">
        <v>82</v>
      </c>
      <c r="K41" s="22">
        <v>12</v>
      </c>
      <c r="N41" s="162"/>
      <c r="O41" s="166"/>
      <c r="P41" s="166"/>
      <c r="Q41" s="166"/>
      <c r="R41" s="166"/>
      <c r="S41" s="166"/>
      <c r="T41" s="166"/>
      <c r="U41" s="166"/>
      <c r="V41" s="166"/>
      <c r="W41" s="163">
        <f t="shared" si="14"/>
        <v>0</v>
      </c>
      <c r="X41" s="164">
        <f t="shared" si="15"/>
        <v>0</v>
      </c>
      <c r="Y41" s="167"/>
      <c r="Z41" s="165">
        <f t="shared" si="16"/>
        <v>0</v>
      </c>
      <c r="AA41" s="167"/>
    </row>
    <row r="42" spans="2:27" x14ac:dyDescent="0.2">
      <c r="B42" s="6">
        <f t="shared" si="17"/>
        <v>405</v>
      </c>
      <c r="C42" s="31" t="s">
        <v>197</v>
      </c>
      <c r="D42" s="54">
        <v>0</v>
      </c>
      <c r="E42" s="59" t="s">
        <v>3</v>
      </c>
      <c r="F42" s="6" t="s">
        <v>50</v>
      </c>
      <c r="H42" s="41">
        <v>4000</v>
      </c>
      <c r="J42" s="41">
        <v>10000</v>
      </c>
      <c r="K42" s="22">
        <v>3</v>
      </c>
      <c r="N42" s="162"/>
      <c r="O42" s="166"/>
      <c r="P42" s="166"/>
      <c r="Q42" s="166"/>
      <c r="R42" s="166"/>
      <c r="S42" s="166"/>
      <c r="T42" s="166"/>
      <c r="U42" s="166"/>
      <c r="V42" s="166"/>
      <c r="W42" s="163">
        <f t="shared" si="14"/>
        <v>0</v>
      </c>
      <c r="X42" s="164">
        <f t="shared" si="15"/>
        <v>0</v>
      </c>
      <c r="Y42" s="167"/>
      <c r="Z42" s="165">
        <f t="shared" si="16"/>
        <v>0</v>
      </c>
      <c r="AA42" s="167"/>
    </row>
    <row r="43" spans="2:27" x14ac:dyDescent="0.2">
      <c r="B43" s="6">
        <f t="shared" si="17"/>
        <v>406</v>
      </c>
      <c r="C43" s="31" t="s">
        <v>35</v>
      </c>
      <c r="D43" s="54">
        <v>0</v>
      </c>
      <c r="E43" s="59" t="s">
        <v>3</v>
      </c>
      <c r="F43" s="6" t="s">
        <v>50</v>
      </c>
      <c r="H43" s="41" t="s">
        <v>82</v>
      </c>
      <c r="K43" s="22">
        <v>1</v>
      </c>
      <c r="N43" s="162"/>
      <c r="O43" s="166"/>
      <c r="P43" s="166"/>
      <c r="Q43" s="166"/>
      <c r="R43" s="166"/>
      <c r="S43" s="166"/>
      <c r="T43" s="166"/>
      <c r="U43" s="166"/>
      <c r="V43" s="166"/>
      <c r="W43" s="163">
        <f t="shared" si="14"/>
        <v>0</v>
      </c>
      <c r="X43" s="164">
        <f t="shared" si="15"/>
        <v>0</v>
      </c>
      <c r="Y43" s="167"/>
      <c r="Z43" s="165">
        <f t="shared" si="16"/>
        <v>0</v>
      </c>
      <c r="AA43" s="167"/>
    </row>
    <row r="44" spans="2:27" x14ac:dyDescent="0.2">
      <c r="B44" s="6">
        <f t="shared" si="17"/>
        <v>407</v>
      </c>
      <c r="C44" s="31" t="s">
        <v>52</v>
      </c>
      <c r="D44" s="54">
        <f>EstHrlyRt*H44</f>
        <v>0</v>
      </c>
      <c r="E44" s="59" t="s">
        <v>5</v>
      </c>
      <c r="F44" s="6" t="s">
        <v>50</v>
      </c>
      <c r="H44" s="81">
        <v>0</v>
      </c>
      <c r="I44" s="81" t="s">
        <v>83</v>
      </c>
      <c r="J44" s="81"/>
      <c r="N44" s="162"/>
      <c r="O44" s="166"/>
      <c r="P44" s="166"/>
      <c r="Q44" s="166"/>
      <c r="R44" s="166"/>
      <c r="S44" s="166"/>
      <c r="T44" s="166"/>
      <c r="U44" s="166"/>
      <c r="V44" s="166"/>
      <c r="W44" s="163">
        <f t="shared" si="14"/>
        <v>0</v>
      </c>
      <c r="X44" s="164">
        <f t="shared" si="15"/>
        <v>0</v>
      </c>
      <c r="Y44" s="167"/>
      <c r="Z44" s="165">
        <f t="shared" si="16"/>
        <v>0</v>
      </c>
      <c r="AA44" s="167"/>
    </row>
    <row r="45" spans="2:27" x14ac:dyDescent="0.2">
      <c r="B45" s="6">
        <f t="shared" si="17"/>
        <v>408</v>
      </c>
      <c r="C45" s="31" t="s">
        <v>56</v>
      </c>
      <c r="D45" s="54">
        <f>EstHrlyRt*H45</f>
        <v>0</v>
      </c>
      <c r="E45" s="59" t="s">
        <v>5</v>
      </c>
      <c r="F45" s="6" t="s">
        <v>49</v>
      </c>
      <c r="H45" s="81">
        <v>0</v>
      </c>
      <c r="I45" s="81" t="s">
        <v>83</v>
      </c>
      <c r="J45" s="81"/>
      <c r="N45" s="162"/>
      <c r="O45" s="166"/>
      <c r="P45" s="166"/>
      <c r="Q45" s="166"/>
      <c r="R45" s="166"/>
      <c r="S45" s="166"/>
      <c r="T45" s="166"/>
      <c r="U45" s="166"/>
      <c r="V45" s="166"/>
      <c r="W45" s="163">
        <f t="shared" si="14"/>
        <v>0</v>
      </c>
      <c r="X45" s="164">
        <f t="shared" si="15"/>
        <v>0</v>
      </c>
      <c r="Y45" s="167"/>
      <c r="Z45" s="165">
        <f t="shared" si="16"/>
        <v>0</v>
      </c>
      <c r="AA45" s="167"/>
    </row>
    <row r="46" spans="2:27" x14ac:dyDescent="0.2">
      <c r="B46" s="6">
        <f t="shared" si="17"/>
        <v>409</v>
      </c>
      <c r="C46" s="31" t="s">
        <v>34</v>
      </c>
      <c r="D46" s="54">
        <f>EstHrlyRt*$H46</f>
        <v>0</v>
      </c>
      <c r="E46" s="59" t="s">
        <v>5</v>
      </c>
      <c r="F46" s="6" t="s">
        <v>100</v>
      </c>
      <c r="H46" s="81">
        <v>0</v>
      </c>
      <c r="I46" s="81" t="s">
        <v>83</v>
      </c>
      <c r="J46" s="81"/>
      <c r="K46" s="22">
        <f>SUM(K38:K45)</f>
        <v>22</v>
      </c>
      <c r="N46" s="162"/>
      <c r="O46" s="166"/>
      <c r="P46" s="166"/>
      <c r="Q46" s="166"/>
      <c r="R46" s="166"/>
      <c r="S46" s="166"/>
      <c r="T46" s="166"/>
      <c r="U46" s="166"/>
      <c r="V46" s="166"/>
      <c r="W46" s="163">
        <f t="shared" si="14"/>
        <v>0</v>
      </c>
      <c r="X46" s="164">
        <f t="shared" si="15"/>
        <v>0</v>
      </c>
      <c r="Y46" s="167"/>
      <c r="Z46" s="165">
        <f t="shared" si="16"/>
        <v>0</v>
      </c>
      <c r="AA46" s="167"/>
    </row>
    <row r="47" spans="2:27" x14ac:dyDescent="0.2">
      <c r="B47" s="6">
        <f t="shared" si="17"/>
        <v>410</v>
      </c>
      <c r="C47" s="31" t="s">
        <v>18</v>
      </c>
      <c r="D47" s="54">
        <v>0</v>
      </c>
      <c r="E47" s="59"/>
      <c r="F47" s="6" t="s">
        <v>50</v>
      </c>
      <c r="N47" s="162"/>
      <c r="O47" s="166"/>
      <c r="P47" s="166"/>
      <c r="Q47" s="166"/>
      <c r="R47" s="166"/>
      <c r="S47" s="166"/>
      <c r="T47" s="166"/>
      <c r="U47" s="166"/>
      <c r="V47" s="166"/>
      <c r="W47" s="163">
        <f t="shared" si="14"/>
        <v>0</v>
      </c>
      <c r="X47" s="164">
        <f t="shared" si="15"/>
        <v>0</v>
      </c>
      <c r="Y47" s="167"/>
      <c r="Z47" s="165">
        <f t="shared" si="16"/>
        <v>0</v>
      </c>
      <c r="AA47" s="167"/>
    </row>
    <row r="48" spans="2:27" s="36" customFormat="1" x14ac:dyDescent="0.2">
      <c r="B48" s="63"/>
      <c r="C48" s="56" t="s">
        <v>36</v>
      </c>
      <c r="D48" s="64">
        <f>SUBTOTAL(109,D37:D47)</f>
        <v>0</v>
      </c>
      <c r="E48" s="65"/>
      <c r="F48" s="63"/>
      <c r="G48" s="5"/>
      <c r="H48" s="46"/>
      <c r="I48" s="46"/>
      <c r="J48" s="173" t="s">
        <v>87</v>
      </c>
      <c r="K48" s="35">
        <f>D48/K46</f>
        <v>0</v>
      </c>
      <c r="M48" s="33"/>
      <c r="N48" s="175">
        <f t="shared" ref="N48:AA48" si="18">SUBTOTAL(109,N37:N47)</f>
        <v>0</v>
      </c>
      <c r="O48" s="168">
        <f t="shared" si="18"/>
        <v>0</v>
      </c>
      <c r="P48" s="168">
        <f t="shared" si="18"/>
        <v>0</v>
      </c>
      <c r="Q48" s="168">
        <f t="shared" si="18"/>
        <v>0</v>
      </c>
      <c r="R48" s="168">
        <f t="shared" si="18"/>
        <v>0</v>
      </c>
      <c r="S48" s="168">
        <f t="shared" si="18"/>
        <v>0</v>
      </c>
      <c r="T48" s="168">
        <f t="shared" si="18"/>
        <v>0</v>
      </c>
      <c r="U48" s="168">
        <f t="shared" si="18"/>
        <v>0</v>
      </c>
      <c r="V48" s="168">
        <f t="shared" si="18"/>
        <v>0</v>
      </c>
      <c r="W48" s="168">
        <f t="shared" si="18"/>
        <v>0</v>
      </c>
      <c r="X48" s="169">
        <f t="shared" si="18"/>
        <v>0</v>
      </c>
      <c r="Y48" s="169">
        <f t="shared" si="18"/>
        <v>0</v>
      </c>
      <c r="Z48" s="169">
        <f t="shared" si="18"/>
        <v>0</v>
      </c>
      <c r="AA48" s="169">
        <f t="shared" si="18"/>
        <v>0</v>
      </c>
    </row>
    <row r="49" spans="2:27" x14ac:dyDescent="0.2">
      <c r="B49" s="91">
        <v>500</v>
      </c>
      <c r="C49" s="66" t="s">
        <v>143</v>
      </c>
      <c r="D49" s="67">
        <v>0</v>
      </c>
      <c r="E49" s="68"/>
      <c r="F49" s="68"/>
      <c r="G49" s="29"/>
      <c r="H49" s="45"/>
      <c r="K49" s="30"/>
      <c r="N49" s="162"/>
      <c r="O49" s="163"/>
      <c r="P49" s="163"/>
      <c r="Q49" s="163"/>
      <c r="R49" s="163"/>
      <c r="S49" s="163"/>
      <c r="T49" s="163"/>
      <c r="U49" s="163"/>
      <c r="V49" s="163"/>
      <c r="W49" s="163"/>
      <c r="X49" s="164"/>
      <c r="Y49" s="165"/>
      <c r="Z49" s="165"/>
      <c r="AA49" s="165"/>
    </row>
    <row r="50" spans="2:27" x14ac:dyDescent="0.2">
      <c r="B50" s="6">
        <f t="shared" ref="B50:B53" si="19">B49+1</f>
        <v>501</v>
      </c>
      <c r="C50" s="31" t="s">
        <v>13</v>
      </c>
      <c r="D50" s="54">
        <v>0</v>
      </c>
      <c r="E50" s="59" t="s">
        <v>3</v>
      </c>
      <c r="F50" s="6" t="s">
        <v>49</v>
      </c>
      <c r="H50" s="41">
        <v>5000</v>
      </c>
      <c r="I50" s="41">
        <v>10000</v>
      </c>
      <c r="J50" s="41">
        <v>15000</v>
      </c>
      <c r="N50" s="162"/>
      <c r="O50" s="166"/>
      <c r="P50" s="166"/>
      <c r="Q50" s="166"/>
      <c r="R50" s="166"/>
      <c r="S50" s="166"/>
      <c r="T50" s="166"/>
      <c r="U50" s="166"/>
      <c r="V50" s="166"/>
      <c r="W50" s="163">
        <f t="shared" ref="W50:W80" si="20">SUM(O50:V50)</f>
        <v>0</v>
      </c>
      <c r="X50" s="164">
        <f t="shared" ref="X50:X80" si="21">$O50*$O$3+$P50*$P$3+$Q50*$Q$3+$R50*$R$3+$S50*$S$3+$T50*$T$3+$U50*$U$3+$V50*$V$3</f>
        <v>0</v>
      </c>
      <c r="Y50" s="167"/>
      <c r="Z50" s="165">
        <f t="shared" ref="Z50:Z80" si="22">SUM(X50:Y50)</f>
        <v>0</v>
      </c>
      <c r="AA50" s="167"/>
    </row>
    <row r="51" spans="2:27" x14ac:dyDescent="0.2">
      <c r="B51" s="6">
        <f t="shared" si="19"/>
        <v>502</v>
      </c>
      <c r="C51" s="31" t="s">
        <v>440</v>
      </c>
      <c r="D51" s="54">
        <v>0</v>
      </c>
      <c r="E51" s="59" t="s">
        <v>3</v>
      </c>
      <c r="F51" s="6" t="s">
        <v>48</v>
      </c>
      <c r="H51" s="41" t="s">
        <v>441</v>
      </c>
      <c r="N51" s="162"/>
      <c r="O51" s="166"/>
      <c r="P51" s="166"/>
      <c r="Q51" s="166"/>
      <c r="R51" s="166"/>
      <c r="S51" s="166"/>
      <c r="T51" s="166"/>
      <c r="U51" s="166"/>
      <c r="V51" s="166"/>
      <c r="W51" s="163"/>
      <c r="X51" s="164"/>
      <c r="Y51" s="167"/>
      <c r="Z51" s="165"/>
      <c r="AA51" s="167"/>
    </row>
    <row r="52" spans="2:27" x14ac:dyDescent="0.2">
      <c r="B52" s="6">
        <f t="shared" si="19"/>
        <v>503</v>
      </c>
      <c r="C52" s="31" t="s">
        <v>15</v>
      </c>
      <c r="D52" s="54">
        <v>0</v>
      </c>
      <c r="E52" s="59" t="s">
        <v>3</v>
      </c>
      <c r="F52" s="6" t="s">
        <v>50</v>
      </c>
      <c r="H52" s="41">
        <v>10000</v>
      </c>
      <c r="J52" s="41">
        <v>15000</v>
      </c>
      <c r="N52" s="162"/>
      <c r="O52" s="166"/>
      <c r="P52" s="166"/>
      <c r="Q52" s="166"/>
      <c r="R52" s="166"/>
      <c r="S52" s="166"/>
      <c r="T52" s="166"/>
      <c r="U52" s="166"/>
      <c r="V52" s="166"/>
      <c r="W52" s="163">
        <f t="shared" si="20"/>
        <v>0</v>
      </c>
      <c r="X52" s="164">
        <f t="shared" si="21"/>
        <v>0</v>
      </c>
      <c r="Y52" s="167"/>
      <c r="Z52" s="165">
        <f t="shared" si="22"/>
        <v>0</v>
      </c>
      <c r="AA52" s="167"/>
    </row>
    <row r="53" spans="2:27" x14ac:dyDescent="0.2">
      <c r="B53" s="6">
        <f t="shared" si="19"/>
        <v>504</v>
      </c>
      <c r="C53" s="31" t="s">
        <v>22</v>
      </c>
      <c r="D53" s="54">
        <v>0</v>
      </c>
      <c r="E53" s="59" t="s">
        <v>3</v>
      </c>
      <c r="F53" s="6" t="s">
        <v>50</v>
      </c>
      <c r="H53" s="41">
        <v>7500</v>
      </c>
      <c r="J53" s="41">
        <v>12500</v>
      </c>
      <c r="N53" s="162"/>
      <c r="O53" s="166"/>
      <c r="P53" s="166"/>
      <c r="Q53" s="166"/>
      <c r="R53" s="166"/>
      <c r="S53" s="166"/>
      <c r="T53" s="166"/>
      <c r="U53" s="166"/>
      <c r="V53" s="166"/>
      <c r="W53" s="163">
        <f t="shared" si="20"/>
        <v>0</v>
      </c>
      <c r="X53" s="164">
        <f t="shared" si="21"/>
        <v>0</v>
      </c>
      <c r="Y53" s="167"/>
      <c r="Z53" s="165">
        <f t="shared" si="22"/>
        <v>0</v>
      </c>
      <c r="AA53" s="167"/>
    </row>
    <row r="54" spans="2:27" x14ac:dyDescent="0.2">
      <c r="B54" s="6">
        <f t="shared" ref="B54:B80" si="23">B53+1</f>
        <v>505</v>
      </c>
      <c r="C54" s="31" t="s">
        <v>23</v>
      </c>
      <c r="D54" s="54">
        <v>0</v>
      </c>
      <c r="E54" s="59" t="s">
        <v>3</v>
      </c>
      <c r="F54" s="6" t="s">
        <v>49</v>
      </c>
      <c r="H54" s="41">
        <v>2500</v>
      </c>
      <c r="J54" s="41">
        <v>5000</v>
      </c>
      <c r="N54" s="162"/>
      <c r="O54" s="166"/>
      <c r="P54" s="166"/>
      <c r="Q54" s="166"/>
      <c r="R54" s="166"/>
      <c r="S54" s="166"/>
      <c r="T54" s="166"/>
      <c r="U54" s="166"/>
      <c r="V54" s="166"/>
      <c r="W54" s="163">
        <f t="shared" si="20"/>
        <v>0</v>
      </c>
      <c r="X54" s="164">
        <f t="shared" si="21"/>
        <v>0</v>
      </c>
      <c r="Y54" s="167"/>
      <c r="Z54" s="165">
        <f t="shared" si="22"/>
        <v>0</v>
      </c>
      <c r="AA54" s="167"/>
    </row>
    <row r="55" spans="2:27" x14ac:dyDescent="0.2">
      <c r="B55" s="6">
        <f t="shared" si="23"/>
        <v>506</v>
      </c>
      <c r="C55" s="31" t="s">
        <v>16</v>
      </c>
      <c r="D55" s="54">
        <v>0</v>
      </c>
      <c r="E55" s="59" t="s">
        <v>3</v>
      </c>
      <c r="F55" s="6" t="s">
        <v>50</v>
      </c>
      <c r="H55" s="41">
        <v>2000</v>
      </c>
      <c r="J55" s="41">
        <v>6000</v>
      </c>
      <c r="N55" s="162"/>
      <c r="O55" s="166"/>
      <c r="P55" s="166"/>
      <c r="Q55" s="166"/>
      <c r="R55" s="166"/>
      <c r="S55" s="166"/>
      <c r="T55" s="166"/>
      <c r="U55" s="166"/>
      <c r="V55" s="166"/>
      <c r="W55" s="163">
        <f t="shared" si="20"/>
        <v>0</v>
      </c>
      <c r="X55" s="164">
        <f t="shared" si="21"/>
        <v>0</v>
      </c>
      <c r="Y55" s="167"/>
      <c r="Z55" s="165">
        <f t="shared" si="22"/>
        <v>0</v>
      </c>
      <c r="AA55" s="167"/>
    </row>
    <row r="56" spans="2:27" x14ac:dyDescent="0.2">
      <c r="B56" s="6">
        <f t="shared" si="23"/>
        <v>507</v>
      </c>
      <c r="C56" s="31" t="s">
        <v>108</v>
      </c>
      <c r="D56" s="54">
        <v>0</v>
      </c>
      <c r="E56" s="59" t="s">
        <v>3</v>
      </c>
      <c r="F56" s="6" t="s">
        <v>50</v>
      </c>
      <c r="H56" s="41" t="s">
        <v>82</v>
      </c>
      <c r="J56" s="41" t="s">
        <v>82</v>
      </c>
      <c r="N56" s="162"/>
      <c r="O56" s="166"/>
      <c r="P56" s="166"/>
      <c r="Q56" s="166"/>
      <c r="R56" s="166"/>
      <c r="S56" s="166"/>
      <c r="T56" s="166"/>
      <c r="U56" s="166"/>
      <c r="V56" s="166"/>
      <c r="W56" s="163">
        <f t="shared" si="20"/>
        <v>0</v>
      </c>
      <c r="X56" s="164">
        <f t="shared" si="21"/>
        <v>0</v>
      </c>
      <c r="Y56" s="167"/>
      <c r="Z56" s="165">
        <f t="shared" si="22"/>
        <v>0</v>
      </c>
      <c r="AA56" s="167"/>
    </row>
    <row r="57" spans="2:27" x14ac:dyDescent="0.2">
      <c r="B57" s="6">
        <f t="shared" si="23"/>
        <v>508</v>
      </c>
      <c r="C57" s="31" t="s">
        <v>442</v>
      </c>
      <c r="D57" s="54">
        <v>0</v>
      </c>
      <c r="E57" s="59" t="s">
        <v>3</v>
      </c>
      <c r="F57" s="6" t="s">
        <v>48</v>
      </c>
      <c r="H57" s="41" t="s">
        <v>443</v>
      </c>
      <c r="N57" s="162"/>
      <c r="O57" s="166"/>
      <c r="P57" s="166"/>
      <c r="Q57" s="166"/>
      <c r="R57" s="166"/>
      <c r="S57" s="166"/>
      <c r="T57" s="166"/>
      <c r="U57" s="166"/>
      <c r="V57" s="166"/>
      <c r="W57" s="163"/>
      <c r="X57" s="164"/>
      <c r="Y57" s="167"/>
      <c r="Z57" s="165"/>
      <c r="AA57" s="167"/>
    </row>
    <row r="58" spans="2:27" x14ac:dyDescent="0.2">
      <c r="B58" s="6">
        <f t="shared" si="23"/>
        <v>509</v>
      </c>
      <c r="C58" s="31" t="s">
        <v>14</v>
      </c>
      <c r="D58" s="54">
        <v>0</v>
      </c>
      <c r="E58" s="59" t="s">
        <v>3</v>
      </c>
      <c r="F58" s="6" t="s">
        <v>50</v>
      </c>
      <c r="H58" s="41">
        <v>2500</v>
      </c>
      <c r="I58" s="41">
        <v>5000</v>
      </c>
      <c r="J58" s="41">
        <v>7500</v>
      </c>
      <c r="N58" s="162"/>
      <c r="O58" s="166"/>
      <c r="P58" s="166"/>
      <c r="Q58" s="166"/>
      <c r="R58" s="166"/>
      <c r="S58" s="166"/>
      <c r="T58" s="166"/>
      <c r="U58" s="166"/>
      <c r="V58" s="166"/>
      <c r="W58" s="163">
        <f t="shared" si="20"/>
        <v>0</v>
      </c>
      <c r="X58" s="164">
        <f t="shared" si="21"/>
        <v>0</v>
      </c>
      <c r="Y58" s="167"/>
      <c r="Z58" s="165">
        <f t="shared" si="22"/>
        <v>0</v>
      </c>
      <c r="AA58" s="167"/>
    </row>
    <row r="59" spans="2:27" x14ac:dyDescent="0.2">
      <c r="B59" s="6">
        <f>B58+1</f>
        <v>510</v>
      </c>
      <c r="C59" s="31" t="s">
        <v>25</v>
      </c>
      <c r="D59" s="54">
        <v>0</v>
      </c>
      <c r="E59" s="59" t="s">
        <v>3</v>
      </c>
      <c r="F59" s="6" t="s">
        <v>50</v>
      </c>
      <c r="H59" s="41">
        <v>2500</v>
      </c>
      <c r="I59" s="41">
        <v>5000</v>
      </c>
      <c r="J59" s="41">
        <v>7500</v>
      </c>
      <c r="N59" s="162"/>
      <c r="O59" s="166"/>
      <c r="P59" s="166"/>
      <c r="Q59" s="166"/>
      <c r="R59" s="166"/>
      <c r="S59" s="166"/>
      <c r="T59" s="166"/>
      <c r="U59" s="166"/>
      <c r="V59" s="166"/>
      <c r="W59" s="163">
        <f t="shared" si="20"/>
        <v>0</v>
      </c>
      <c r="X59" s="164">
        <f t="shared" si="21"/>
        <v>0</v>
      </c>
      <c r="Y59" s="167"/>
      <c r="Z59" s="165">
        <f t="shared" si="22"/>
        <v>0</v>
      </c>
      <c r="AA59" s="167"/>
    </row>
    <row r="60" spans="2:27" x14ac:dyDescent="0.2">
      <c r="B60" s="6">
        <f t="shared" si="23"/>
        <v>511</v>
      </c>
      <c r="C60" s="31" t="s">
        <v>24</v>
      </c>
      <c r="D60" s="54">
        <v>0</v>
      </c>
      <c r="E60" s="59" t="s">
        <v>3</v>
      </c>
      <c r="F60" s="6" t="s">
        <v>50</v>
      </c>
      <c r="N60" s="162"/>
      <c r="O60" s="166"/>
      <c r="P60" s="166"/>
      <c r="Q60" s="166"/>
      <c r="R60" s="166"/>
      <c r="S60" s="166"/>
      <c r="T60" s="166"/>
      <c r="U60" s="166"/>
      <c r="V60" s="166"/>
      <c r="W60" s="163">
        <f t="shared" si="20"/>
        <v>0</v>
      </c>
      <c r="X60" s="164">
        <f t="shared" si="21"/>
        <v>0</v>
      </c>
      <c r="Y60" s="167"/>
      <c r="Z60" s="165">
        <f t="shared" si="22"/>
        <v>0</v>
      </c>
      <c r="AA60" s="167"/>
    </row>
    <row r="61" spans="2:27" x14ac:dyDescent="0.2">
      <c r="B61" s="6">
        <f t="shared" si="23"/>
        <v>512</v>
      </c>
      <c r="C61" s="31" t="s">
        <v>109</v>
      </c>
      <c r="D61" s="54">
        <v>0</v>
      </c>
      <c r="E61" s="59" t="s">
        <v>3</v>
      </c>
      <c r="F61" s="6" t="s">
        <v>50</v>
      </c>
      <c r="N61" s="162"/>
      <c r="O61" s="166"/>
      <c r="P61" s="166"/>
      <c r="Q61" s="166"/>
      <c r="R61" s="166"/>
      <c r="S61" s="166"/>
      <c r="T61" s="166"/>
      <c r="U61" s="166"/>
      <c r="V61" s="166"/>
      <c r="W61" s="163">
        <f t="shared" si="20"/>
        <v>0</v>
      </c>
      <c r="X61" s="164">
        <f t="shared" si="21"/>
        <v>0</v>
      </c>
      <c r="Y61" s="167"/>
      <c r="Z61" s="165">
        <f t="shared" si="22"/>
        <v>0</v>
      </c>
      <c r="AA61" s="167"/>
    </row>
    <row r="62" spans="2:27" x14ac:dyDescent="0.2">
      <c r="B62" s="6">
        <f t="shared" si="23"/>
        <v>513</v>
      </c>
      <c r="C62" s="31" t="s">
        <v>459</v>
      </c>
      <c r="D62" s="54">
        <v>0</v>
      </c>
      <c r="E62" s="59" t="s">
        <v>3</v>
      </c>
      <c r="F62" s="6" t="s">
        <v>49</v>
      </c>
      <c r="H62" s="41" t="s">
        <v>443</v>
      </c>
      <c r="N62" s="162"/>
      <c r="O62" s="166"/>
      <c r="P62" s="166"/>
      <c r="Q62" s="166"/>
      <c r="R62" s="166"/>
      <c r="S62" s="166"/>
      <c r="T62" s="166"/>
      <c r="U62" s="166"/>
      <c r="V62" s="166"/>
      <c r="W62" s="163"/>
      <c r="X62" s="164"/>
      <c r="Y62" s="167"/>
      <c r="Z62" s="165"/>
      <c r="AA62" s="167"/>
    </row>
    <row r="63" spans="2:27" x14ac:dyDescent="0.2">
      <c r="B63" s="6">
        <f t="shared" si="23"/>
        <v>514</v>
      </c>
      <c r="C63" s="31" t="s">
        <v>57</v>
      </c>
      <c r="D63" s="54">
        <v>0</v>
      </c>
      <c r="E63" s="59" t="s">
        <v>3</v>
      </c>
      <c r="F63" s="6" t="s">
        <v>49</v>
      </c>
      <c r="H63" s="41">
        <v>3500</v>
      </c>
      <c r="I63" s="41">
        <v>6500</v>
      </c>
      <c r="J63" s="41">
        <v>12000</v>
      </c>
      <c r="N63" s="162"/>
      <c r="O63" s="166"/>
      <c r="P63" s="166"/>
      <c r="Q63" s="166"/>
      <c r="R63" s="166"/>
      <c r="S63" s="166"/>
      <c r="T63" s="166"/>
      <c r="U63" s="166"/>
      <c r="V63" s="166"/>
      <c r="W63" s="163">
        <f t="shared" si="20"/>
        <v>0</v>
      </c>
      <c r="X63" s="164">
        <f t="shared" si="21"/>
        <v>0</v>
      </c>
      <c r="Y63" s="167"/>
      <c r="Z63" s="165">
        <f t="shared" si="22"/>
        <v>0</v>
      </c>
      <c r="AA63" s="167"/>
    </row>
    <row r="64" spans="2:27" x14ac:dyDescent="0.2">
      <c r="B64" s="6">
        <f t="shared" si="23"/>
        <v>515</v>
      </c>
      <c r="C64" s="31" t="s">
        <v>26</v>
      </c>
      <c r="D64" s="54">
        <v>0</v>
      </c>
      <c r="E64" s="59" t="s">
        <v>3</v>
      </c>
      <c r="F64" s="6" t="s">
        <v>49</v>
      </c>
      <c r="H64" s="41">
        <v>10000</v>
      </c>
      <c r="J64" s="41">
        <v>35000</v>
      </c>
      <c r="N64" s="162"/>
      <c r="O64" s="166"/>
      <c r="P64" s="166"/>
      <c r="Q64" s="166"/>
      <c r="R64" s="166"/>
      <c r="S64" s="166"/>
      <c r="T64" s="166"/>
      <c r="U64" s="166"/>
      <c r="V64" s="166"/>
      <c r="W64" s="163">
        <f t="shared" si="20"/>
        <v>0</v>
      </c>
      <c r="X64" s="164">
        <f t="shared" si="21"/>
        <v>0</v>
      </c>
      <c r="Y64" s="167"/>
      <c r="Z64" s="165">
        <f t="shared" si="22"/>
        <v>0</v>
      </c>
      <c r="AA64" s="167"/>
    </row>
    <row r="65" spans="2:27" x14ac:dyDescent="0.2">
      <c r="B65" s="6">
        <f t="shared" si="23"/>
        <v>516</v>
      </c>
      <c r="C65" s="31" t="s">
        <v>444</v>
      </c>
      <c r="D65" s="54">
        <v>0</v>
      </c>
      <c r="E65" s="59" t="s">
        <v>3</v>
      </c>
      <c r="F65" s="6" t="s">
        <v>49</v>
      </c>
      <c r="H65" s="41" t="s">
        <v>450</v>
      </c>
      <c r="N65" s="162"/>
      <c r="O65" s="166"/>
      <c r="P65" s="166"/>
      <c r="Q65" s="166"/>
      <c r="R65" s="166"/>
      <c r="S65" s="166"/>
      <c r="T65" s="166"/>
      <c r="U65" s="166"/>
      <c r="V65" s="166"/>
      <c r="W65" s="163"/>
      <c r="X65" s="164"/>
      <c r="Y65" s="167"/>
      <c r="Z65" s="165"/>
      <c r="AA65" s="167"/>
    </row>
    <row r="66" spans="2:27" x14ac:dyDescent="0.2">
      <c r="B66" s="6">
        <f t="shared" si="23"/>
        <v>517</v>
      </c>
      <c r="C66" s="31" t="s">
        <v>445</v>
      </c>
      <c r="D66" s="54">
        <v>0</v>
      </c>
      <c r="E66" s="59" t="s">
        <v>3</v>
      </c>
      <c r="F66" s="6" t="s">
        <v>50</v>
      </c>
      <c r="H66" s="41" t="s">
        <v>450</v>
      </c>
      <c r="N66" s="162"/>
      <c r="O66" s="166"/>
      <c r="P66" s="166"/>
      <c r="Q66" s="166"/>
      <c r="R66" s="166"/>
      <c r="S66" s="166"/>
      <c r="T66" s="166"/>
      <c r="U66" s="166"/>
      <c r="V66" s="166"/>
      <c r="W66" s="163"/>
      <c r="X66" s="164"/>
      <c r="Y66" s="167"/>
      <c r="Z66" s="165"/>
      <c r="AA66" s="167"/>
    </row>
    <row r="67" spans="2:27" x14ac:dyDescent="0.2">
      <c r="B67" s="6">
        <f t="shared" si="23"/>
        <v>518</v>
      </c>
      <c r="C67" s="31" t="s">
        <v>488</v>
      </c>
      <c r="D67" s="54">
        <v>0</v>
      </c>
      <c r="E67" s="59" t="s">
        <v>3</v>
      </c>
      <c r="F67" s="6" t="s">
        <v>100</v>
      </c>
      <c r="H67" s="41" t="s">
        <v>449</v>
      </c>
      <c r="N67" s="162"/>
      <c r="O67" s="166"/>
      <c r="P67" s="166"/>
      <c r="Q67" s="166"/>
      <c r="R67" s="166"/>
      <c r="S67" s="166"/>
      <c r="T67" s="166"/>
      <c r="U67" s="166"/>
      <c r="V67" s="166"/>
      <c r="W67" s="163"/>
      <c r="X67" s="164"/>
      <c r="Y67" s="167"/>
      <c r="Z67" s="165"/>
      <c r="AA67" s="167"/>
    </row>
    <row r="68" spans="2:27" x14ac:dyDescent="0.2">
      <c r="B68" s="6">
        <f t="shared" si="23"/>
        <v>519</v>
      </c>
      <c r="C68" s="31" t="s">
        <v>446</v>
      </c>
      <c r="D68" s="54">
        <v>0</v>
      </c>
      <c r="E68" s="59" t="s">
        <v>3</v>
      </c>
      <c r="F68" s="6" t="s">
        <v>100</v>
      </c>
      <c r="H68" s="41" t="s">
        <v>451</v>
      </c>
      <c r="N68" s="162"/>
      <c r="O68" s="166"/>
      <c r="P68" s="166"/>
      <c r="Q68" s="166"/>
      <c r="R68" s="166"/>
      <c r="S68" s="166"/>
      <c r="T68" s="166"/>
      <c r="U68" s="166"/>
      <c r="V68" s="166"/>
      <c r="W68" s="163"/>
      <c r="X68" s="164"/>
      <c r="Y68" s="167"/>
      <c r="Z68" s="165"/>
      <c r="AA68" s="167"/>
    </row>
    <row r="69" spans="2:27" x14ac:dyDescent="0.2">
      <c r="B69" s="6">
        <f t="shared" si="23"/>
        <v>520</v>
      </c>
      <c r="C69" s="31" t="s">
        <v>447</v>
      </c>
      <c r="D69" s="54">
        <v>0</v>
      </c>
      <c r="E69" s="59" t="s">
        <v>3</v>
      </c>
      <c r="F69" s="6" t="s">
        <v>100</v>
      </c>
      <c r="H69" s="41" t="s">
        <v>452</v>
      </c>
      <c r="N69" s="162"/>
      <c r="O69" s="166"/>
      <c r="P69" s="166"/>
      <c r="Q69" s="166"/>
      <c r="R69" s="166"/>
      <c r="S69" s="166"/>
      <c r="T69" s="166"/>
      <c r="U69" s="166"/>
      <c r="V69" s="166"/>
      <c r="W69" s="163"/>
      <c r="X69" s="164"/>
      <c r="Y69" s="167"/>
      <c r="Z69" s="165"/>
      <c r="AA69" s="167"/>
    </row>
    <row r="70" spans="2:27" x14ac:dyDescent="0.2">
      <c r="B70" s="6">
        <f t="shared" si="23"/>
        <v>521</v>
      </c>
      <c r="C70" s="31" t="s">
        <v>27</v>
      </c>
      <c r="D70" s="54">
        <f>EstHrlyRt*$H70</f>
        <v>0</v>
      </c>
      <c r="E70" s="59" t="s">
        <v>5</v>
      </c>
      <c r="F70" s="6" t="s">
        <v>100</v>
      </c>
      <c r="H70" s="81">
        <v>0</v>
      </c>
      <c r="I70" s="81" t="s">
        <v>83</v>
      </c>
      <c r="J70" s="81"/>
      <c r="N70" s="162"/>
      <c r="O70" s="166"/>
      <c r="P70" s="166"/>
      <c r="Q70" s="166"/>
      <c r="R70" s="166"/>
      <c r="S70" s="166"/>
      <c r="T70" s="166"/>
      <c r="U70" s="166"/>
      <c r="V70" s="166"/>
      <c r="W70" s="163">
        <f t="shared" si="20"/>
        <v>0</v>
      </c>
      <c r="X70" s="164">
        <f t="shared" si="21"/>
        <v>0</v>
      </c>
      <c r="Y70" s="167"/>
      <c r="Z70" s="165">
        <f t="shared" si="22"/>
        <v>0</v>
      </c>
      <c r="AA70" s="167"/>
    </row>
    <row r="71" spans="2:27" x14ac:dyDescent="0.2">
      <c r="B71" s="6">
        <f t="shared" si="23"/>
        <v>522</v>
      </c>
      <c r="C71" s="31" t="s">
        <v>448</v>
      </c>
      <c r="D71" s="54">
        <v>0</v>
      </c>
      <c r="E71" s="59" t="s">
        <v>3</v>
      </c>
      <c r="F71" s="6" t="s">
        <v>49</v>
      </c>
      <c r="H71" s="81" t="s">
        <v>453</v>
      </c>
      <c r="I71" s="81"/>
      <c r="J71" s="81"/>
      <c r="N71" s="162"/>
      <c r="O71" s="166"/>
      <c r="P71" s="166"/>
      <c r="Q71" s="166"/>
      <c r="R71" s="166"/>
      <c r="S71" s="166"/>
      <c r="T71" s="166"/>
      <c r="U71" s="166"/>
      <c r="V71" s="166"/>
      <c r="W71" s="163"/>
      <c r="X71" s="164"/>
      <c r="Y71" s="167"/>
      <c r="Z71" s="165"/>
      <c r="AA71" s="167"/>
    </row>
    <row r="72" spans="2:27" x14ac:dyDescent="0.2">
      <c r="B72" s="6">
        <f t="shared" si="23"/>
        <v>523</v>
      </c>
      <c r="C72" s="31" t="s">
        <v>144</v>
      </c>
      <c r="D72" s="54">
        <v>0</v>
      </c>
      <c r="E72" s="59" t="s">
        <v>3</v>
      </c>
      <c r="F72" s="6" t="s">
        <v>48</v>
      </c>
      <c r="H72" s="41">
        <v>2500</v>
      </c>
      <c r="J72" s="41">
        <v>10000</v>
      </c>
      <c r="N72" s="162"/>
      <c r="O72" s="166"/>
      <c r="P72" s="166"/>
      <c r="Q72" s="166"/>
      <c r="R72" s="166"/>
      <c r="S72" s="166"/>
      <c r="T72" s="166"/>
      <c r="U72" s="166"/>
      <c r="V72" s="166"/>
      <c r="W72" s="163">
        <f t="shared" si="20"/>
        <v>0</v>
      </c>
      <c r="X72" s="164">
        <f t="shared" si="21"/>
        <v>0</v>
      </c>
      <c r="Y72" s="167"/>
      <c r="Z72" s="165">
        <f t="shared" si="22"/>
        <v>0</v>
      </c>
      <c r="AA72" s="167"/>
    </row>
    <row r="73" spans="2:27" x14ac:dyDescent="0.2">
      <c r="B73" s="6">
        <f t="shared" si="23"/>
        <v>524</v>
      </c>
      <c r="C73" s="31" t="s">
        <v>28</v>
      </c>
      <c r="D73" s="54">
        <v>0</v>
      </c>
      <c r="E73" s="59" t="s">
        <v>3</v>
      </c>
      <c r="F73" s="6" t="s">
        <v>49</v>
      </c>
      <c r="H73" s="41">
        <v>5000</v>
      </c>
      <c r="J73" s="41">
        <v>25000</v>
      </c>
      <c r="N73" s="162"/>
      <c r="O73" s="166"/>
      <c r="P73" s="166"/>
      <c r="Q73" s="166"/>
      <c r="R73" s="166"/>
      <c r="S73" s="166"/>
      <c r="T73" s="166"/>
      <c r="U73" s="166"/>
      <c r="V73" s="166"/>
      <c r="W73" s="163">
        <f t="shared" si="20"/>
        <v>0</v>
      </c>
      <c r="X73" s="164">
        <f t="shared" si="21"/>
        <v>0</v>
      </c>
      <c r="Y73" s="167"/>
      <c r="Z73" s="165">
        <f t="shared" si="22"/>
        <v>0</v>
      </c>
      <c r="AA73" s="167"/>
    </row>
    <row r="74" spans="2:27" x14ac:dyDescent="0.2">
      <c r="B74" s="6">
        <f t="shared" si="23"/>
        <v>525</v>
      </c>
      <c r="C74" s="31" t="s">
        <v>89</v>
      </c>
      <c r="D74" s="54">
        <v>0</v>
      </c>
      <c r="E74" s="59" t="s">
        <v>3</v>
      </c>
      <c r="F74" s="6" t="s">
        <v>49</v>
      </c>
      <c r="H74" s="41">
        <v>2500</v>
      </c>
      <c r="J74" s="41">
        <v>25000</v>
      </c>
      <c r="N74" s="162"/>
      <c r="O74" s="166"/>
      <c r="P74" s="166"/>
      <c r="Q74" s="166"/>
      <c r="R74" s="166"/>
      <c r="S74" s="166"/>
      <c r="T74" s="166"/>
      <c r="U74" s="166"/>
      <c r="V74" s="166"/>
      <c r="W74" s="163">
        <f t="shared" si="20"/>
        <v>0</v>
      </c>
      <c r="X74" s="164">
        <f t="shared" si="21"/>
        <v>0</v>
      </c>
      <c r="Y74" s="167"/>
      <c r="Z74" s="165">
        <f t="shared" si="22"/>
        <v>0</v>
      </c>
      <c r="AA74" s="167"/>
    </row>
    <row r="75" spans="2:27" ht="25.5" x14ac:dyDescent="0.2">
      <c r="B75" s="6">
        <f t="shared" si="23"/>
        <v>526</v>
      </c>
      <c r="C75" s="31" t="s">
        <v>58</v>
      </c>
      <c r="D75" s="54">
        <v>0</v>
      </c>
      <c r="E75" s="59" t="s">
        <v>3</v>
      </c>
      <c r="F75" s="6" t="s">
        <v>50</v>
      </c>
      <c r="H75" s="41">
        <v>1500</v>
      </c>
      <c r="J75" s="41">
        <v>3500</v>
      </c>
      <c r="N75" s="162"/>
      <c r="O75" s="166"/>
      <c r="P75" s="166"/>
      <c r="Q75" s="166"/>
      <c r="R75" s="166"/>
      <c r="S75" s="166"/>
      <c r="T75" s="166"/>
      <c r="U75" s="166"/>
      <c r="V75" s="166"/>
      <c r="W75" s="163">
        <f t="shared" si="20"/>
        <v>0</v>
      </c>
      <c r="X75" s="164">
        <f t="shared" si="21"/>
        <v>0</v>
      </c>
      <c r="Y75" s="167"/>
      <c r="Z75" s="165">
        <f t="shared" si="22"/>
        <v>0</v>
      </c>
      <c r="AA75" s="167"/>
    </row>
    <row r="76" spans="2:27" x14ac:dyDescent="0.2">
      <c r="B76" s="6">
        <f t="shared" si="23"/>
        <v>527</v>
      </c>
      <c r="C76" s="31" t="s">
        <v>71</v>
      </c>
      <c r="D76" s="54">
        <v>0</v>
      </c>
      <c r="E76" s="59" t="s">
        <v>3</v>
      </c>
      <c r="F76" s="6" t="s">
        <v>50</v>
      </c>
      <c r="H76" s="41">
        <v>1000</v>
      </c>
      <c r="J76" s="41">
        <v>6500</v>
      </c>
      <c r="N76" s="162"/>
      <c r="O76" s="166"/>
      <c r="P76" s="166"/>
      <c r="Q76" s="166"/>
      <c r="R76" s="166"/>
      <c r="S76" s="166"/>
      <c r="T76" s="166"/>
      <c r="U76" s="166"/>
      <c r="V76" s="166"/>
      <c r="W76" s="163">
        <f t="shared" si="20"/>
        <v>0</v>
      </c>
      <c r="X76" s="164">
        <f t="shared" si="21"/>
        <v>0</v>
      </c>
      <c r="Y76" s="167"/>
      <c r="Z76" s="165">
        <f t="shared" si="22"/>
        <v>0</v>
      </c>
      <c r="AA76" s="167"/>
    </row>
    <row r="77" spans="2:27" x14ac:dyDescent="0.2">
      <c r="B77" s="6">
        <f t="shared" si="23"/>
        <v>528</v>
      </c>
      <c r="C77" s="31" t="s">
        <v>280</v>
      </c>
      <c r="D77" s="54">
        <v>0</v>
      </c>
      <c r="E77" s="59" t="s">
        <v>5</v>
      </c>
      <c r="F77" s="6" t="s">
        <v>50</v>
      </c>
      <c r="H77" s="81">
        <v>0</v>
      </c>
      <c r="I77" s="81" t="s">
        <v>83</v>
      </c>
      <c r="J77" s="81"/>
      <c r="N77" s="162"/>
      <c r="O77" s="166"/>
      <c r="P77" s="166"/>
      <c r="Q77" s="166"/>
      <c r="R77" s="166"/>
      <c r="S77" s="166"/>
      <c r="T77" s="166"/>
      <c r="U77" s="166"/>
      <c r="V77" s="166"/>
      <c r="W77" s="163">
        <f t="shared" si="20"/>
        <v>0</v>
      </c>
      <c r="X77" s="164">
        <f t="shared" si="21"/>
        <v>0</v>
      </c>
      <c r="Y77" s="167"/>
      <c r="Z77" s="165">
        <f t="shared" si="22"/>
        <v>0</v>
      </c>
      <c r="AA77" s="167"/>
    </row>
    <row r="78" spans="2:27" x14ac:dyDescent="0.2">
      <c r="B78" s="6">
        <f t="shared" si="23"/>
        <v>529</v>
      </c>
      <c r="C78" s="31" t="s">
        <v>386</v>
      </c>
      <c r="D78" s="54">
        <v>0</v>
      </c>
      <c r="E78" s="59" t="s">
        <v>5</v>
      </c>
      <c r="F78" s="6" t="s">
        <v>50</v>
      </c>
      <c r="H78" s="81">
        <v>0</v>
      </c>
      <c r="I78" s="81" t="s">
        <v>83</v>
      </c>
      <c r="J78" s="81"/>
      <c r="K78" s="184" t="s">
        <v>387</v>
      </c>
      <c r="L78" s="185"/>
      <c r="N78" s="162"/>
      <c r="O78" s="166"/>
      <c r="P78" s="166"/>
      <c r="Q78" s="166"/>
      <c r="R78" s="166"/>
      <c r="S78" s="166"/>
      <c r="T78" s="166"/>
      <c r="U78" s="166"/>
      <c r="V78" s="166"/>
      <c r="W78" s="163">
        <f t="shared" ref="W78" si="24">SUM(O78:V78)</f>
        <v>0</v>
      </c>
      <c r="X78" s="164">
        <f t="shared" si="21"/>
        <v>0</v>
      </c>
      <c r="Y78" s="167"/>
      <c r="Z78" s="165">
        <f t="shared" ref="Z78:Z79" si="25">SUM(X78:Y78)</f>
        <v>0</v>
      </c>
      <c r="AA78" s="167"/>
    </row>
    <row r="79" spans="2:27" x14ac:dyDescent="0.2">
      <c r="B79" s="6">
        <f t="shared" si="23"/>
        <v>530</v>
      </c>
      <c r="C79" s="31" t="s">
        <v>586</v>
      </c>
      <c r="D79" s="54">
        <v>0</v>
      </c>
      <c r="E79" s="59" t="s">
        <v>3</v>
      </c>
      <c r="F79" s="6" t="s">
        <v>50</v>
      </c>
      <c r="H79" s="41" t="s">
        <v>587</v>
      </c>
      <c r="N79" s="162"/>
      <c r="O79" s="166"/>
      <c r="P79" s="166"/>
      <c r="Q79" s="166"/>
      <c r="R79" s="166"/>
      <c r="S79" s="166"/>
      <c r="T79" s="166"/>
      <c r="U79" s="166"/>
      <c r="V79" s="166"/>
      <c r="W79" s="163">
        <f t="shared" ref="W79" si="26">SUM(O79:V79)</f>
        <v>0</v>
      </c>
      <c r="X79" s="164">
        <f t="shared" si="21"/>
        <v>0</v>
      </c>
      <c r="Y79" s="167"/>
      <c r="Z79" s="165">
        <f t="shared" si="25"/>
        <v>0</v>
      </c>
      <c r="AA79" s="167"/>
    </row>
    <row r="80" spans="2:27" x14ac:dyDescent="0.2">
      <c r="B80" s="6">
        <f t="shared" si="23"/>
        <v>531</v>
      </c>
      <c r="C80" s="31" t="s">
        <v>18</v>
      </c>
      <c r="D80" s="54">
        <v>0</v>
      </c>
      <c r="E80" s="59" t="s">
        <v>3</v>
      </c>
      <c r="F80" s="6" t="s">
        <v>50</v>
      </c>
      <c r="N80" s="162"/>
      <c r="O80" s="166"/>
      <c r="P80" s="166"/>
      <c r="Q80" s="166"/>
      <c r="R80" s="166"/>
      <c r="S80" s="166"/>
      <c r="T80" s="166"/>
      <c r="U80" s="166"/>
      <c r="V80" s="166"/>
      <c r="W80" s="163">
        <f t="shared" si="20"/>
        <v>0</v>
      </c>
      <c r="X80" s="164">
        <f t="shared" si="21"/>
        <v>0</v>
      </c>
      <c r="Y80" s="167"/>
      <c r="Z80" s="165">
        <f t="shared" si="22"/>
        <v>0</v>
      </c>
      <c r="AA80" s="167"/>
    </row>
    <row r="81" spans="2:27" s="36" customFormat="1" x14ac:dyDescent="0.2">
      <c r="B81" s="63"/>
      <c r="C81" s="56" t="s">
        <v>36</v>
      </c>
      <c r="D81" s="64">
        <f>SUBTOTAL(109,D49:D80)</f>
        <v>0</v>
      </c>
      <c r="E81" s="65"/>
      <c r="F81" s="63"/>
      <c r="G81" s="5"/>
      <c r="H81" s="46"/>
      <c r="I81" s="46"/>
      <c r="J81" s="46"/>
      <c r="K81" s="35"/>
      <c r="L81" s="33"/>
      <c r="M81" s="33"/>
      <c r="N81" s="175">
        <f t="shared" ref="N81:AA81" si="27">SUBTOTAL(109,N49:N80)</f>
        <v>0</v>
      </c>
      <c r="O81" s="168">
        <f t="shared" si="27"/>
        <v>0</v>
      </c>
      <c r="P81" s="168">
        <f t="shared" si="27"/>
        <v>0</v>
      </c>
      <c r="Q81" s="168">
        <f t="shared" si="27"/>
        <v>0</v>
      </c>
      <c r="R81" s="168">
        <f t="shared" si="27"/>
        <v>0</v>
      </c>
      <c r="S81" s="168">
        <f t="shared" si="27"/>
        <v>0</v>
      </c>
      <c r="T81" s="168">
        <f t="shared" si="27"/>
        <v>0</v>
      </c>
      <c r="U81" s="168">
        <f t="shared" si="27"/>
        <v>0</v>
      </c>
      <c r="V81" s="168">
        <f t="shared" si="27"/>
        <v>0</v>
      </c>
      <c r="W81" s="168">
        <f t="shared" si="27"/>
        <v>0</v>
      </c>
      <c r="X81" s="169">
        <f t="shared" si="27"/>
        <v>0</v>
      </c>
      <c r="Y81" s="169">
        <f t="shared" si="27"/>
        <v>0</v>
      </c>
      <c r="Z81" s="169">
        <f t="shared" si="27"/>
        <v>0</v>
      </c>
      <c r="AA81" s="169">
        <f t="shared" si="27"/>
        <v>0</v>
      </c>
    </row>
    <row r="82" spans="2:27" x14ac:dyDescent="0.2">
      <c r="B82" s="91">
        <v>600</v>
      </c>
      <c r="C82" s="66" t="s">
        <v>91</v>
      </c>
      <c r="D82" s="67">
        <v>0</v>
      </c>
      <c r="E82" s="68"/>
      <c r="F82" s="68"/>
      <c r="G82" s="29"/>
      <c r="H82" s="44" t="s">
        <v>90</v>
      </c>
      <c r="K82" s="30"/>
      <c r="N82" s="162"/>
      <c r="O82" s="163"/>
      <c r="P82" s="163"/>
      <c r="Q82" s="163"/>
      <c r="R82" s="163"/>
      <c r="S82" s="163"/>
      <c r="T82" s="163"/>
      <c r="U82" s="163"/>
      <c r="V82" s="163"/>
      <c r="W82" s="163"/>
      <c r="X82" s="164"/>
      <c r="Y82" s="165"/>
      <c r="Z82" s="165"/>
      <c r="AA82" s="165"/>
    </row>
    <row r="83" spans="2:27" s="36" customFormat="1" x14ac:dyDescent="0.2">
      <c r="B83" s="6">
        <f t="shared" ref="B83:B86" si="28">B82+1</f>
        <v>601</v>
      </c>
      <c r="C83" s="31" t="s">
        <v>74</v>
      </c>
      <c r="D83" s="54">
        <v>0</v>
      </c>
      <c r="E83" s="59" t="s">
        <v>3</v>
      </c>
      <c r="F83" s="6" t="s">
        <v>50</v>
      </c>
      <c r="G83" s="5"/>
      <c r="H83" s="41">
        <v>2500</v>
      </c>
      <c r="I83" s="41"/>
      <c r="J83" s="41">
        <v>10000</v>
      </c>
      <c r="K83" s="35"/>
      <c r="L83" s="33"/>
      <c r="M83" s="33"/>
      <c r="N83" s="174"/>
      <c r="O83" s="166"/>
      <c r="P83" s="166"/>
      <c r="Q83" s="166"/>
      <c r="R83" s="166"/>
      <c r="S83" s="166"/>
      <c r="T83" s="166"/>
      <c r="U83" s="166"/>
      <c r="V83" s="166"/>
      <c r="W83" s="163">
        <f>SUM(O83:V83)</f>
        <v>0</v>
      </c>
      <c r="X83" s="164">
        <f>$O83*$O$3+$P83*$P$3+$Q83*$Q$3+$R83*$R$3+$S83*$S$3+$T83*$T$3+$U83*$U$3+$V83*$V$3</f>
        <v>0</v>
      </c>
      <c r="Y83" s="167"/>
      <c r="Z83" s="165">
        <f t="shared" ref="Z83:Z86" si="29">SUM(X83:Y83)</f>
        <v>0</v>
      </c>
      <c r="AA83" s="167"/>
    </row>
    <row r="84" spans="2:27" s="36" customFormat="1" x14ac:dyDescent="0.2">
      <c r="B84" s="6">
        <f t="shared" si="28"/>
        <v>602</v>
      </c>
      <c r="C84" s="31" t="s">
        <v>52</v>
      </c>
      <c r="D84" s="54">
        <f>EstHrlyRt*$H84</f>
        <v>0</v>
      </c>
      <c r="E84" s="59" t="s">
        <v>5</v>
      </c>
      <c r="F84" s="6" t="s">
        <v>50</v>
      </c>
      <c r="G84" s="5"/>
      <c r="H84" s="81">
        <v>0</v>
      </c>
      <c r="I84" s="81" t="s">
        <v>83</v>
      </c>
      <c r="J84" s="81"/>
      <c r="K84" s="35"/>
      <c r="L84" s="33"/>
      <c r="M84" s="33"/>
      <c r="N84" s="174"/>
      <c r="O84" s="166"/>
      <c r="P84" s="166"/>
      <c r="Q84" s="166"/>
      <c r="R84" s="166"/>
      <c r="S84" s="166"/>
      <c r="T84" s="166"/>
      <c r="U84" s="166"/>
      <c r="V84" s="166"/>
      <c r="W84" s="163">
        <f t="shared" ref="W84:W86" si="30">SUM(O84:V84)</f>
        <v>0</v>
      </c>
      <c r="X84" s="164">
        <f t="shared" ref="X84:X86" si="31">$O84*$O$3+$P84*$P$3+$Q84*$Q$3+$R84*$R$3+$S84*$S$3+$T84*$T$3+$U84*$U$3+$V84*$V$3</f>
        <v>0</v>
      </c>
      <c r="Y84" s="167"/>
      <c r="Z84" s="165">
        <f t="shared" si="29"/>
        <v>0</v>
      </c>
      <c r="AA84" s="167"/>
    </row>
    <row r="85" spans="2:27" s="36" customFormat="1" x14ac:dyDescent="0.2">
      <c r="B85" s="6">
        <f t="shared" si="28"/>
        <v>603</v>
      </c>
      <c r="C85" s="31" t="s">
        <v>56</v>
      </c>
      <c r="D85" s="54">
        <f>EstHrlyRt*$H85</f>
        <v>0</v>
      </c>
      <c r="E85" s="59" t="s">
        <v>5</v>
      </c>
      <c r="F85" s="6" t="s">
        <v>50</v>
      </c>
      <c r="G85" s="5"/>
      <c r="H85" s="81">
        <v>0</v>
      </c>
      <c r="I85" s="81" t="s">
        <v>83</v>
      </c>
      <c r="J85" s="81"/>
      <c r="K85" s="35"/>
      <c r="L85" s="33"/>
      <c r="M85" s="33"/>
      <c r="N85" s="174"/>
      <c r="O85" s="166"/>
      <c r="P85" s="166"/>
      <c r="Q85" s="166"/>
      <c r="R85" s="166"/>
      <c r="S85" s="166"/>
      <c r="T85" s="166"/>
      <c r="U85" s="166"/>
      <c r="V85" s="166"/>
      <c r="W85" s="163">
        <f t="shared" si="30"/>
        <v>0</v>
      </c>
      <c r="X85" s="164">
        <f t="shared" si="31"/>
        <v>0</v>
      </c>
      <c r="Y85" s="167"/>
      <c r="Z85" s="165">
        <f t="shared" si="29"/>
        <v>0</v>
      </c>
      <c r="AA85" s="167"/>
    </row>
    <row r="86" spans="2:27" s="36" customFormat="1" x14ac:dyDescent="0.2">
      <c r="B86" s="6">
        <f t="shared" si="28"/>
        <v>604</v>
      </c>
      <c r="C86" s="31" t="s">
        <v>18</v>
      </c>
      <c r="D86" s="54">
        <v>0</v>
      </c>
      <c r="E86" s="59"/>
      <c r="F86" s="6" t="s">
        <v>50</v>
      </c>
      <c r="G86" s="5"/>
      <c r="H86" s="46"/>
      <c r="I86" s="46"/>
      <c r="J86" s="46"/>
      <c r="K86" s="35"/>
      <c r="L86" s="33"/>
      <c r="M86" s="33"/>
      <c r="N86" s="174"/>
      <c r="O86" s="166"/>
      <c r="P86" s="166"/>
      <c r="Q86" s="166"/>
      <c r="R86" s="166"/>
      <c r="S86" s="166"/>
      <c r="T86" s="166"/>
      <c r="U86" s="166"/>
      <c r="V86" s="166"/>
      <c r="W86" s="163">
        <f t="shared" si="30"/>
        <v>0</v>
      </c>
      <c r="X86" s="164">
        <f t="shared" si="31"/>
        <v>0</v>
      </c>
      <c r="Y86" s="167"/>
      <c r="Z86" s="165">
        <f t="shared" si="29"/>
        <v>0</v>
      </c>
      <c r="AA86" s="167"/>
    </row>
    <row r="87" spans="2:27" s="36" customFormat="1" x14ac:dyDescent="0.2">
      <c r="B87" s="63"/>
      <c r="C87" s="56" t="s">
        <v>36</v>
      </c>
      <c r="D87" s="64">
        <f>SUBTOTAL(109,D82:D86)</f>
        <v>0</v>
      </c>
      <c r="E87" s="65"/>
      <c r="F87" s="63"/>
      <c r="G87" s="5"/>
      <c r="H87" s="46"/>
      <c r="I87" s="46"/>
      <c r="J87" s="46"/>
      <c r="K87" s="35"/>
      <c r="L87" s="33"/>
      <c r="M87" s="33"/>
      <c r="N87" s="174">
        <f t="shared" ref="N87:AA87" si="32">SUBTOTAL(109,N82:N86)</f>
        <v>0</v>
      </c>
      <c r="O87" s="170">
        <f t="shared" si="32"/>
        <v>0</v>
      </c>
      <c r="P87" s="170">
        <f t="shared" si="32"/>
        <v>0</v>
      </c>
      <c r="Q87" s="170">
        <f t="shared" si="32"/>
        <v>0</v>
      </c>
      <c r="R87" s="170">
        <f t="shared" si="32"/>
        <v>0</v>
      </c>
      <c r="S87" s="170">
        <f t="shared" si="32"/>
        <v>0</v>
      </c>
      <c r="T87" s="170">
        <f t="shared" si="32"/>
        <v>0</v>
      </c>
      <c r="U87" s="170">
        <f t="shared" si="32"/>
        <v>0</v>
      </c>
      <c r="V87" s="170">
        <f t="shared" si="32"/>
        <v>0</v>
      </c>
      <c r="W87" s="170">
        <f t="shared" si="32"/>
        <v>0</v>
      </c>
      <c r="X87" s="171">
        <f t="shared" si="32"/>
        <v>0</v>
      </c>
      <c r="Y87" s="171">
        <f t="shared" si="32"/>
        <v>0</v>
      </c>
      <c r="Z87" s="171">
        <f t="shared" si="32"/>
        <v>0</v>
      </c>
      <c r="AA87" s="171">
        <f t="shared" si="32"/>
        <v>0</v>
      </c>
    </row>
    <row r="88" spans="2:27" x14ac:dyDescent="0.2">
      <c r="B88" s="91">
        <v>700</v>
      </c>
      <c r="C88" s="66" t="s">
        <v>93</v>
      </c>
      <c r="D88" s="67">
        <v>0</v>
      </c>
      <c r="E88" s="68"/>
      <c r="F88" s="68"/>
      <c r="G88" s="29"/>
      <c r="H88" s="44" t="s">
        <v>90</v>
      </c>
      <c r="K88" s="30"/>
      <c r="N88" s="162"/>
      <c r="O88" s="163"/>
      <c r="P88" s="163"/>
      <c r="Q88" s="163"/>
      <c r="R88" s="163"/>
      <c r="S88" s="163"/>
      <c r="T88" s="163"/>
      <c r="U88" s="163"/>
      <c r="V88" s="163"/>
      <c r="W88" s="163"/>
      <c r="X88" s="164"/>
      <c r="Y88" s="165"/>
      <c r="Z88" s="165"/>
      <c r="AA88" s="165"/>
    </row>
    <row r="89" spans="2:27" s="36" customFormat="1" x14ac:dyDescent="0.2">
      <c r="B89" s="6">
        <v>701</v>
      </c>
      <c r="C89" s="31" t="s">
        <v>76</v>
      </c>
      <c r="D89" s="54">
        <v>0</v>
      </c>
      <c r="E89" s="59" t="s">
        <v>3</v>
      </c>
      <c r="F89" s="6" t="s">
        <v>48</v>
      </c>
      <c r="G89" s="5"/>
      <c r="H89" s="41">
        <v>2500</v>
      </c>
      <c r="I89" s="41"/>
      <c r="J89" s="41">
        <v>10000</v>
      </c>
      <c r="K89" s="35"/>
      <c r="L89" s="33"/>
      <c r="M89" s="33"/>
      <c r="N89" s="174"/>
      <c r="O89" s="166"/>
      <c r="P89" s="166"/>
      <c r="Q89" s="166"/>
      <c r="R89" s="166"/>
      <c r="S89" s="166"/>
      <c r="T89" s="166"/>
      <c r="U89" s="166"/>
      <c r="V89" s="166"/>
      <c r="W89" s="163">
        <f t="shared" ref="W89:W97" si="33">SUM(O89:V89)</f>
        <v>0</v>
      </c>
      <c r="X89" s="164">
        <f t="shared" ref="X89:X97" si="34">$O89*$O$3+$P89*$P$3+$Q89*$Q$3+$R89*$R$3+$S89*$S$3+$T89*$T$3+$U89*$U$3+$V89*$V$3</f>
        <v>0</v>
      </c>
      <c r="Y89" s="167"/>
      <c r="Z89" s="172">
        <f t="shared" ref="Z89:Z97" si="35">SUM(X89:Y89)</f>
        <v>0</v>
      </c>
      <c r="AA89" s="167"/>
    </row>
    <row r="90" spans="2:27" s="36" customFormat="1" x14ac:dyDescent="0.2">
      <c r="B90" s="6">
        <f>B89+1</f>
        <v>702</v>
      </c>
      <c r="C90" s="31" t="s">
        <v>77</v>
      </c>
      <c r="D90" s="54">
        <v>0</v>
      </c>
      <c r="E90" s="59" t="s">
        <v>3</v>
      </c>
      <c r="F90" s="6" t="s">
        <v>49</v>
      </c>
      <c r="G90" s="5"/>
      <c r="H90" s="41">
        <v>2500</v>
      </c>
      <c r="I90" s="41"/>
      <c r="J90" s="41">
        <v>10000</v>
      </c>
      <c r="K90" s="35"/>
      <c r="L90" s="33"/>
      <c r="M90" s="33"/>
      <c r="N90" s="174"/>
      <c r="O90" s="166"/>
      <c r="P90" s="166"/>
      <c r="Q90" s="166"/>
      <c r="R90" s="166"/>
      <c r="S90" s="166"/>
      <c r="T90" s="166"/>
      <c r="U90" s="166"/>
      <c r="V90" s="166"/>
      <c r="W90" s="163">
        <f t="shared" si="33"/>
        <v>0</v>
      </c>
      <c r="X90" s="164">
        <f t="shared" si="34"/>
        <v>0</v>
      </c>
      <c r="Y90" s="167"/>
      <c r="Z90" s="172">
        <f t="shared" si="35"/>
        <v>0</v>
      </c>
      <c r="AA90" s="167"/>
    </row>
    <row r="91" spans="2:27" s="36" customFormat="1" x14ac:dyDescent="0.2">
      <c r="B91" s="6">
        <f t="shared" ref="B91:B97" si="36">B90+1</f>
        <v>703</v>
      </c>
      <c r="C91" s="31" t="s">
        <v>78</v>
      </c>
      <c r="D91" s="54">
        <v>0</v>
      </c>
      <c r="E91" s="59" t="s">
        <v>3</v>
      </c>
      <c r="F91" s="6" t="s">
        <v>50</v>
      </c>
      <c r="G91" s="5"/>
      <c r="H91" s="41">
        <v>2500</v>
      </c>
      <c r="I91" s="41"/>
      <c r="J91" s="41">
        <v>10000</v>
      </c>
      <c r="K91" s="35"/>
      <c r="L91" s="33"/>
      <c r="M91" s="33"/>
      <c r="N91" s="174"/>
      <c r="O91" s="166"/>
      <c r="P91" s="166"/>
      <c r="Q91" s="166"/>
      <c r="R91" s="166"/>
      <c r="S91" s="166"/>
      <c r="T91" s="166"/>
      <c r="U91" s="166"/>
      <c r="V91" s="166"/>
      <c r="W91" s="163">
        <f t="shared" si="33"/>
        <v>0</v>
      </c>
      <c r="X91" s="164">
        <f t="shared" si="34"/>
        <v>0</v>
      </c>
      <c r="Y91" s="167"/>
      <c r="Z91" s="172">
        <f t="shared" si="35"/>
        <v>0</v>
      </c>
      <c r="AA91" s="167"/>
    </row>
    <row r="92" spans="2:27" s="36" customFormat="1" x14ac:dyDescent="0.2">
      <c r="B92" s="6">
        <f t="shared" si="36"/>
        <v>704</v>
      </c>
      <c r="C92" s="31" t="s">
        <v>75</v>
      </c>
      <c r="D92" s="54">
        <v>0</v>
      </c>
      <c r="E92" s="59" t="s">
        <v>3</v>
      </c>
      <c r="F92" s="6" t="s">
        <v>50</v>
      </c>
      <c r="G92" s="5"/>
      <c r="H92" s="41">
        <v>2500</v>
      </c>
      <c r="I92" s="41"/>
      <c r="J92" s="41">
        <v>10000</v>
      </c>
      <c r="K92" s="35"/>
      <c r="L92" s="33"/>
      <c r="M92" s="33"/>
      <c r="N92" s="174"/>
      <c r="O92" s="166"/>
      <c r="P92" s="166"/>
      <c r="Q92" s="166"/>
      <c r="R92" s="166"/>
      <c r="S92" s="166"/>
      <c r="T92" s="166"/>
      <c r="U92" s="166"/>
      <c r="V92" s="166"/>
      <c r="W92" s="163">
        <f t="shared" si="33"/>
        <v>0</v>
      </c>
      <c r="X92" s="164">
        <f t="shared" si="34"/>
        <v>0</v>
      </c>
      <c r="Y92" s="167"/>
      <c r="Z92" s="172">
        <f t="shared" si="35"/>
        <v>0</v>
      </c>
      <c r="AA92" s="167"/>
    </row>
    <row r="93" spans="2:27" s="36" customFormat="1" x14ac:dyDescent="0.2">
      <c r="B93" s="6">
        <f t="shared" si="36"/>
        <v>705</v>
      </c>
      <c r="C93" s="31" t="s">
        <v>92</v>
      </c>
      <c r="D93" s="54">
        <f>EstHrlyRt*$H93</f>
        <v>0</v>
      </c>
      <c r="E93" s="59" t="s">
        <v>5</v>
      </c>
      <c r="F93" s="6" t="s">
        <v>50</v>
      </c>
      <c r="G93" s="5"/>
      <c r="H93" s="81">
        <v>0</v>
      </c>
      <c r="I93" s="81" t="s">
        <v>83</v>
      </c>
      <c r="J93" s="81"/>
      <c r="K93" s="35"/>
      <c r="L93" s="33"/>
      <c r="M93" s="33"/>
      <c r="N93" s="174"/>
      <c r="O93" s="166"/>
      <c r="P93" s="166"/>
      <c r="Q93" s="166"/>
      <c r="R93" s="166"/>
      <c r="S93" s="166"/>
      <c r="T93" s="166"/>
      <c r="U93" s="166"/>
      <c r="V93" s="166"/>
      <c r="W93" s="163">
        <f t="shared" si="33"/>
        <v>0</v>
      </c>
      <c r="X93" s="164">
        <f t="shared" si="34"/>
        <v>0</v>
      </c>
      <c r="Y93" s="167"/>
      <c r="Z93" s="172">
        <f t="shared" si="35"/>
        <v>0</v>
      </c>
      <c r="AA93" s="167"/>
    </row>
    <row r="94" spans="2:27" s="36" customFormat="1" x14ac:dyDescent="0.2">
      <c r="B94" s="6">
        <f t="shared" si="36"/>
        <v>706</v>
      </c>
      <c r="C94" s="31" t="s">
        <v>79</v>
      </c>
      <c r="D94" s="54">
        <v>0</v>
      </c>
      <c r="E94" s="59" t="s">
        <v>3</v>
      </c>
      <c r="F94" s="6" t="s">
        <v>50</v>
      </c>
      <c r="G94" s="5"/>
      <c r="H94" s="41">
        <v>2500</v>
      </c>
      <c r="I94" s="41"/>
      <c r="J94" s="41">
        <v>10000</v>
      </c>
      <c r="K94" s="35"/>
      <c r="L94" s="33"/>
      <c r="M94" s="33"/>
      <c r="N94" s="174"/>
      <c r="O94" s="166"/>
      <c r="P94" s="166"/>
      <c r="Q94" s="166"/>
      <c r="R94" s="166"/>
      <c r="S94" s="166"/>
      <c r="T94" s="166"/>
      <c r="U94" s="166"/>
      <c r="V94" s="166"/>
      <c r="W94" s="163">
        <f t="shared" si="33"/>
        <v>0</v>
      </c>
      <c r="X94" s="164">
        <f t="shared" si="34"/>
        <v>0</v>
      </c>
      <c r="Y94" s="167"/>
      <c r="Z94" s="172">
        <f t="shared" si="35"/>
        <v>0</v>
      </c>
      <c r="AA94" s="167"/>
    </row>
    <row r="95" spans="2:27" s="36" customFormat="1" x14ac:dyDescent="0.2">
      <c r="B95" s="6">
        <f t="shared" si="36"/>
        <v>707</v>
      </c>
      <c r="C95" s="31" t="s">
        <v>52</v>
      </c>
      <c r="D95" s="54">
        <f>EstHrlyRt*$H95</f>
        <v>0</v>
      </c>
      <c r="E95" s="59" t="s">
        <v>5</v>
      </c>
      <c r="F95" s="6" t="s">
        <v>100</v>
      </c>
      <c r="G95" s="7"/>
      <c r="H95" s="81">
        <v>0</v>
      </c>
      <c r="I95" s="81" t="s">
        <v>83</v>
      </c>
      <c r="J95" s="81"/>
      <c r="K95" s="35"/>
      <c r="L95" s="33"/>
      <c r="M95" s="33"/>
      <c r="N95" s="174"/>
      <c r="O95" s="166"/>
      <c r="P95" s="166"/>
      <c r="Q95" s="166"/>
      <c r="R95" s="166"/>
      <c r="S95" s="166"/>
      <c r="T95" s="166"/>
      <c r="U95" s="166"/>
      <c r="V95" s="166"/>
      <c r="W95" s="163">
        <f t="shared" si="33"/>
        <v>0</v>
      </c>
      <c r="X95" s="164">
        <f t="shared" si="34"/>
        <v>0</v>
      </c>
      <c r="Y95" s="167"/>
      <c r="Z95" s="172">
        <f t="shared" si="35"/>
        <v>0</v>
      </c>
      <c r="AA95" s="167"/>
    </row>
    <row r="96" spans="2:27" s="36" customFormat="1" x14ac:dyDescent="0.2">
      <c r="B96" s="6">
        <f t="shared" si="36"/>
        <v>708</v>
      </c>
      <c r="C96" s="31" t="s">
        <v>56</v>
      </c>
      <c r="D96" s="54">
        <v>0</v>
      </c>
      <c r="E96" s="59" t="s">
        <v>3</v>
      </c>
      <c r="F96" s="6" t="s">
        <v>50</v>
      </c>
      <c r="G96" s="5"/>
      <c r="H96" s="41">
        <v>2500</v>
      </c>
      <c r="I96" s="41"/>
      <c r="J96" s="41">
        <v>10000</v>
      </c>
      <c r="K96" s="35"/>
      <c r="L96" s="33"/>
      <c r="M96" s="33"/>
      <c r="N96" s="174"/>
      <c r="O96" s="166"/>
      <c r="P96" s="166"/>
      <c r="Q96" s="166"/>
      <c r="R96" s="166"/>
      <c r="S96" s="166"/>
      <c r="T96" s="166"/>
      <c r="U96" s="166"/>
      <c r="V96" s="166"/>
      <c r="W96" s="163">
        <f t="shared" si="33"/>
        <v>0</v>
      </c>
      <c r="X96" s="164">
        <f t="shared" si="34"/>
        <v>0</v>
      </c>
      <c r="Y96" s="167"/>
      <c r="Z96" s="172">
        <f t="shared" si="35"/>
        <v>0</v>
      </c>
      <c r="AA96" s="167"/>
    </row>
    <row r="97" spans="2:27" s="36" customFormat="1" x14ac:dyDescent="0.2">
      <c r="B97" s="6">
        <f t="shared" si="36"/>
        <v>709</v>
      </c>
      <c r="C97" s="31" t="s">
        <v>18</v>
      </c>
      <c r="D97" s="54">
        <v>0</v>
      </c>
      <c r="E97" s="59"/>
      <c r="F97" s="6" t="s">
        <v>50</v>
      </c>
      <c r="G97" s="5"/>
      <c r="H97" s="41"/>
      <c r="I97" s="41"/>
      <c r="J97" s="41"/>
      <c r="K97" s="35"/>
      <c r="L97" s="33"/>
      <c r="M97" s="33"/>
      <c r="N97" s="174"/>
      <c r="O97" s="166"/>
      <c r="P97" s="166"/>
      <c r="Q97" s="166"/>
      <c r="R97" s="166"/>
      <c r="S97" s="166"/>
      <c r="T97" s="166"/>
      <c r="U97" s="166"/>
      <c r="V97" s="166"/>
      <c r="W97" s="163">
        <f t="shared" si="33"/>
        <v>0</v>
      </c>
      <c r="X97" s="164">
        <f t="shared" si="34"/>
        <v>0</v>
      </c>
      <c r="Y97" s="167"/>
      <c r="Z97" s="172">
        <f t="shared" si="35"/>
        <v>0</v>
      </c>
      <c r="AA97" s="167"/>
    </row>
    <row r="98" spans="2:27" s="36" customFormat="1" x14ac:dyDescent="0.2">
      <c r="B98" s="63"/>
      <c r="C98" s="56" t="s">
        <v>36</v>
      </c>
      <c r="D98" s="64">
        <f>SUBTOTAL(109,D88:$D97)</f>
        <v>0</v>
      </c>
      <c r="E98" s="65"/>
      <c r="F98" s="63"/>
      <c r="G98" s="5"/>
      <c r="H98" s="46"/>
      <c r="I98" s="46"/>
      <c r="J98" s="46"/>
      <c r="K98" s="35"/>
      <c r="L98" s="33"/>
      <c r="M98" s="33"/>
      <c r="N98" s="175">
        <f t="shared" ref="N98:AA98" si="37">SUBTOTAL(109,N88:N97)</f>
        <v>0</v>
      </c>
      <c r="O98" s="168">
        <f t="shared" si="37"/>
        <v>0</v>
      </c>
      <c r="P98" s="168">
        <f t="shared" si="37"/>
        <v>0</v>
      </c>
      <c r="Q98" s="168">
        <f t="shared" si="37"/>
        <v>0</v>
      </c>
      <c r="R98" s="168">
        <f t="shared" si="37"/>
        <v>0</v>
      </c>
      <c r="S98" s="168">
        <f t="shared" si="37"/>
        <v>0</v>
      </c>
      <c r="T98" s="168">
        <f t="shared" si="37"/>
        <v>0</v>
      </c>
      <c r="U98" s="168">
        <f t="shared" si="37"/>
        <v>0</v>
      </c>
      <c r="V98" s="168">
        <f t="shared" si="37"/>
        <v>0</v>
      </c>
      <c r="W98" s="168">
        <f t="shared" si="37"/>
        <v>0</v>
      </c>
      <c r="X98" s="169">
        <f t="shared" si="37"/>
        <v>0</v>
      </c>
      <c r="Y98" s="169">
        <f t="shared" si="37"/>
        <v>0</v>
      </c>
      <c r="Z98" s="169">
        <f t="shared" si="37"/>
        <v>0</v>
      </c>
      <c r="AA98" s="169">
        <f t="shared" si="37"/>
        <v>0</v>
      </c>
    </row>
    <row r="99" spans="2:27" x14ac:dyDescent="0.2">
      <c r="B99" s="91">
        <v>800</v>
      </c>
      <c r="C99" s="66" t="s">
        <v>94</v>
      </c>
      <c r="D99" s="67">
        <v>0</v>
      </c>
      <c r="E99" s="68"/>
      <c r="F99" s="68"/>
      <c r="G99" s="29"/>
      <c r="H99" s="45"/>
      <c r="K99" s="30"/>
      <c r="N99" s="162"/>
      <c r="O99" s="163"/>
      <c r="P99" s="163"/>
      <c r="Q99" s="163"/>
      <c r="R99" s="163"/>
      <c r="S99" s="163"/>
      <c r="T99" s="163"/>
      <c r="U99" s="163"/>
      <c r="V99" s="163"/>
      <c r="W99" s="163"/>
      <c r="X99" s="164"/>
      <c r="Y99" s="165"/>
      <c r="Z99" s="165"/>
      <c r="AA99" s="165"/>
    </row>
    <row r="100" spans="2:27" x14ac:dyDescent="0.2">
      <c r="B100" s="6">
        <v>801</v>
      </c>
      <c r="C100" s="31" t="s">
        <v>72</v>
      </c>
      <c r="D100" s="54">
        <f>EstHrlyRt*$H100</f>
        <v>0</v>
      </c>
      <c r="E100" s="59" t="s">
        <v>5</v>
      </c>
      <c r="F100" s="6" t="s">
        <v>100</v>
      </c>
      <c r="H100" s="81">
        <v>0</v>
      </c>
      <c r="I100" s="81" t="s">
        <v>83</v>
      </c>
      <c r="J100" s="81"/>
      <c r="N100" s="162"/>
      <c r="O100" s="166"/>
      <c r="P100" s="166"/>
      <c r="Q100" s="166"/>
      <c r="R100" s="166"/>
      <c r="S100" s="166"/>
      <c r="T100" s="166"/>
      <c r="U100" s="166"/>
      <c r="V100" s="166"/>
      <c r="W100" s="163">
        <f t="shared" ref="W100:W106" si="38">SUM(O100:V100)</f>
        <v>0</v>
      </c>
      <c r="X100" s="164">
        <f t="shared" ref="X100:X106" si="39">$O100*$O$3+$P100*$P$3+$Q100*$Q$3+$R100*$R$3+$S100*$S$3+$T100*$T$3+$U100*$U$3+$V100*$V$3</f>
        <v>0</v>
      </c>
      <c r="Y100" s="167"/>
      <c r="Z100" s="165">
        <f t="shared" ref="Z100:Z106" si="40">SUM(X100:Y100)</f>
        <v>0</v>
      </c>
      <c r="AA100" s="167"/>
    </row>
    <row r="101" spans="2:27" x14ac:dyDescent="0.2">
      <c r="B101" s="6">
        <f>B100+1</f>
        <v>802</v>
      </c>
      <c r="C101" s="31" t="s">
        <v>67</v>
      </c>
      <c r="D101" s="54">
        <f>EstHrlyRt*$H101</f>
        <v>0</v>
      </c>
      <c r="E101" s="59" t="s">
        <v>5</v>
      </c>
      <c r="F101" s="6" t="s">
        <v>100</v>
      </c>
      <c r="H101" s="81">
        <v>0</v>
      </c>
      <c r="I101" s="81" t="s">
        <v>83</v>
      </c>
      <c r="J101" s="81"/>
      <c r="N101" s="162"/>
      <c r="O101" s="166"/>
      <c r="P101" s="166"/>
      <c r="Q101" s="166"/>
      <c r="R101" s="166"/>
      <c r="S101" s="166"/>
      <c r="T101" s="166"/>
      <c r="U101" s="166"/>
      <c r="V101" s="166"/>
      <c r="W101" s="163">
        <f t="shared" si="38"/>
        <v>0</v>
      </c>
      <c r="X101" s="164">
        <f t="shared" si="39"/>
        <v>0</v>
      </c>
      <c r="Y101" s="167"/>
      <c r="Z101" s="165">
        <f t="shared" si="40"/>
        <v>0</v>
      </c>
      <c r="AA101" s="167"/>
    </row>
    <row r="102" spans="2:27" x14ac:dyDescent="0.2">
      <c r="B102" s="6">
        <f>B101+1</f>
        <v>803</v>
      </c>
      <c r="C102" s="31" t="s">
        <v>68</v>
      </c>
      <c r="D102" s="54">
        <v>0</v>
      </c>
      <c r="E102" s="59" t="s">
        <v>5</v>
      </c>
      <c r="F102" s="6" t="s">
        <v>100</v>
      </c>
      <c r="H102" s="41">
        <v>1000</v>
      </c>
      <c r="J102" s="41">
        <v>5000</v>
      </c>
      <c r="N102" s="162"/>
      <c r="O102" s="166"/>
      <c r="P102" s="166"/>
      <c r="Q102" s="166"/>
      <c r="R102" s="166"/>
      <c r="S102" s="166"/>
      <c r="T102" s="166"/>
      <c r="U102" s="166"/>
      <c r="V102" s="166"/>
      <c r="W102" s="163">
        <f t="shared" si="38"/>
        <v>0</v>
      </c>
      <c r="X102" s="164">
        <f t="shared" si="39"/>
        <v>0</v>
      </c>
      <c r="Y102" s="167"/>
      <c r="Z102" s="165">
        <f t="shared" si="40"/>
        <v>0</v>
      </c>
      <c r="AA102" s="167"/>
    </row>
    <row r="103" spans="2:27" x14ac:dyDescent="0.2">
      <c r="B103" s="6">
        <f t="shared" ref="B103:B106" si="41">B102+1</f>
        <v>804</v>
      </c>
      <c r="C103" s="31" t="s">
        <v>73</v>
      </c>
      <c r="D103" s="54">
        <v>0</v>
      </c>
      <c r="E103" s="59" t="s">
        <v>470</v>
      </c>
      <c r="F103" s="6" t="s">
        <v>100</v>
      </c>
      <c r="H103" s="81">
        <v>0</v>
      </c>
      <c r="I103" s="81" t="s">
        <v>83</v>
      </c>
      <c r="J103" s="81"/>
      <c r="N103" s="162"/>
      <c r="O103" s="166"/>
      <c r="P103" s="166"/>
      <c r="Q103" s="166"/>
      <c r="R103" s="166"/>
      <c r="S103" s="166"/>
      <c r="T103" s="166"/>
      <c r="U103" s="166"/>
      <c r="V103" s="166"/>
      <c r="W103" s="163">
        <f t="shared" si="38"/>
        <v>0</v>
      </c>
      <c r="X103" s="164">
        <f t="shared" si="39"/>
        <v>0</v>
      </c>
      <c r="Y103" s="167"/>
      <c r="Z103" s="165">
        <f t="shared" si="40"/>
        <v>0</v>
      </c>
      <c r="AA103" s="167"/>
    </row>
    <row r="104" spans="2:27" x14ac:dyDescent="0.2">
      <c r="B104" s="6">
        <f t="shared" si="41"/>
        <v>805</v>
      </c>
      <c r="C104" s="31" t="s">
        <v>69</v>
      </c>
      <c r="D104" s="54">
        <v>0</v>
      </c>
      <c r="E104" s="59" t="s">
        <v>5</v>
      </c>
      <c r="F104" s="6" t="s">
        <v>100</v>
      </c>
      <c r="H104" s="81">
        <v>0</v>
      </c>
      <c r="I104" s="81" t="s">
        <v>83</v>
      </c>
      <c r="J104" s="81"/>
      <c r="N104" s="162"/>
      <c r="O104" s="166"/>
      <c r="P104" s="166"/>
      <c r="Q104" s="166"/>
      <c r="R104" s="166"/>
      <c r="S104" s="166"/>
      <c r="T104" s="166"/>
      <c r="U104" s="166"/>
      <c r="V104" s="166"/>
      <c r="W104" s="163">
        <f t="shared" si="38"/>
        <v>0</v>
      </c>
      <c r="X104" s="164">
        <f t="shared" si="39"/>
        <v>0</v>
      </c>
      <c r="Y104" s="167"/>
      <c r="Z104" s="165">
        <f t="shared" si="40"/>
        <v>0</v>
      </c>
      <c r="AA104" s="167"/>
    </row>
    <row r="105" spans="2:27" x14ac:dyDescent="0.2">
      <c r="B105" s="6">
        <f t="shared" si="41"/>
        <v>806</v>
      </c>
      <c r="C105" s="31" t="s">
        <v>70</v>
      </c>
      <c r="D105" s="54">
        <v>0</v>
      </c>
      <c r="E105" s="59" t="s">
        <v>3</v>
      </c>
      <c r="F105" s="6" t="s">
        <v>100</v>
      </c>
      <c r="H105" s="41">
        <v>1000</v>
      </c>
      <c r="J105" s="41">
        <v>5000</v>
      </c>
      <c r="N105" s="162"/>
      <c r="O105" s="166"/>
      <c r="P105" s="166"/>
      <c r="Q105" s="166"/>
      <c r="R105" s="166"/>
      <c r="S105" s="166"/>
      <c r="T105" s="166"/>
      <c r="U105" s="166"/>
      <c r="V105" s="166"/>
      <c r="W105" s="163">
        <f t="shared" si="38"/>
        <v>0</v>
      </c>
      <c r="X105" s="164">
        <f t="shared" si="39"/>
        <v>0</v>
      </c>
      <c r="Y105" s="167"/>
      <c r="Z105" s="165">
        <f t="shared" si="40"/>
        <v>0</v>
      </c>
      <c r="AA105" s="167"/>
    </row>
    <row r="106" spans="2:27" x14ac:dyDescent="0.2">
      <c r="B106" s="6">
        <f t="shared" si="41"/>
        <v>807</v>
      </c>
      <c r="C106" s="31" t="s">
        <v>18</v>
      </c>
      <c r="D106" s="54">
        <v>0</v>
      </c>
      <c r="E106" s="59"/>
      <c r="F106" s="6" t="s">
        <v>100</v>
      </c>
      <c r="N106" s="162"/>
      <c r="O106" s="166"/>
      <c r="P106" s="166"/>
      <c r="Q106" s="166"/>
      <c r="R106" s="166"/>
      <c r="S106" s="166"/>
      <c r="T106" s="166"/>
      <c r="U106" s="166"/>
      <c r="V106" s="166"/>
      <c r="W106" s="163">
        <f t="shared" si="38"/>
        <v>0</v>
      </c>
      <c r="X106" s="164">
        <f t="shared" si="39"/>
        <v>0</v>
      </c>
      <c r="Y106" s="167"/>
      <c r="Z106" s="165">
        <f t="shared" si="40"/>
        <v>0</v>
      </c>
      <c r="AA106" s="167"/>
    </row>
    <row r="107" spans="2:27" s="36" customFormat="1" x14ac:dyDescent="0.2">
      <c r="B107" s="63"/>
      <c r="C107" s="56" t="s">
        <v>36</v>
      </c>
      <c r="D107" s="64">
        <f>SUBTOTAL(109,D99:D106)</f>
        <v>0</v>
      </c>
      <c r="E107" s="65"/>
      <c r="F107" s="63"/>
      <c r="G107" s="5"/>
      <c r="H107" s="46"/>
      <c r="I107" s="46"/>
      <c r="J107" s="46"/>
      <c r="K107" s="35"/>
      <c r="L107" s="33"/>
      <c r="M107" s="33"/>
      <c r="N107" s="175">
        <f t="shared" ref="N107:AA107" si="42">SUBTOTAL(109,N99:N106)</f>
        <v>0</v>
      </c>
      <c r="O107" s="168">
        <f t="shared" si="42"/>
        <v>0</v>
      </c>
      <c r="P107" s="168">
        <f t="shared" si="42"/>
        <v>0</v>
      </c>
      <c r="Q107" s="168">
        <f t="shared" si="42"/>
        <v>0</v>
      </c>
      <c r="R107" s="168">
        <f t="shared" si="42"/>
        <v>0</v>
      </c>
      <c r="S107" s="168">
        <f t="shared" si="42"/>
        <v>0</v>
      </c>
      <c r="T107" s="168">
        <f t="shared" si="42"/>
        <v>0</v>
      </c>
      <c r="U107" s="168">
        <f t="shared" si="42"/>
        <v>0</v>
      </c>
      <c r="V107" s="168">
        <f t="shared" si="42"/>
        <v>0</v>
      </c>
      <c r="W107" s="168">
        <f t="shared" si="42"/>
        <v>0</v>
      </c>
      <c r="X107" s="169">
        <f t="shared" si="42"/>
        <v>0</v>
      </c>
      <c r="Y107" s="169">
        <f t="shared" si="42"/>
        <v>0</v>
      </c>
      <c r="Z107" s="169">
        <f t="shared" si="42"/>
        <v>0</v>
      </c>
      <c r="AA107" s="169">
        <f t="shared" si="42"/>
        <v>0</v>
      </c>
    </row>
    <row r="108" spans="2:27" s="36" customFormat="1" x14ac:dyDescent="0.2">
      <c r="B108" s="6"/>
      <c r="C108" s="18"/>
      <c r="D108" s="32"/>
      <c r="E108" s="59"/>
      <c r="F108" s="6"/>
      <c r="G108" s="5"/>
      <c r="H108" s="190" t="b">
        <f>IF(SUM($D$4:$D$108)/2&lt;&gt;rngSubtotalFees,"YOUR SPREADSHEET DOESN'T TOTAL")</f>
        <v>0</v>
      </c>
      <c r="I108" s="191"/>
      <c r="J108" s="191"/>
      <c r="K108" s="192"/>
      <c r="L108" s="190"/>
      <c r="M108" s="33"/>
      <c r="N108" s="174"/>
      <c r="O108" s="170"/>
      <c r="P108" s="170"/>
      <c r="Q108" s="170"/>
      <c r="R108" s="170"/>
      <c r="S108" s="170"/>
      <c r="T108" s="170"/>
      <c r="U108" s="170"/>
      <c r="V108" s="170"/>
      <c r="W108" s="170"/>
      <c r="X108" s="171"/>
      <c r="Y108" s="172"/>
      <c r="Z108" s="172"/>
      <c r="AA108" s="172"/>
    </row>
    <row r="109" spans="2:27" s="36" customFormat="1" x14ac:dyDescent="0.2">
      <c r="B109" s="6"/>
      <c r="C109" s="58" t="s">
        <v>110</v>
      </c>
      <c r="D109" s="57">
        <f>SUBTOTAL(109,D4:D108)</f>
        <v>0</v>
      </c>
      <c r="E109" s="59"/>
      <c r="F109" s="6"/>
      <c r="G109" s="5"/>
      <c r="H109" s="190" t="b">
        <f>IF(SUM($D$4:$D$108)/2&lt;&gt;rngSubtotalFees,"CHECK YOUR FORMULAS IN THE FEE COLUMN")</f>
        <v>0</v>
      </c>
      <c r="I109" s="191"/>
      <c r="J109" s="191"/>
      <c r="K109" s="192"/>
      <c r="L109" s="190"/>
      <c r="M109" s="33"/>
      <c r="N109" s="174">
        <f t="shared" ref="N109:AA109" si="43">SUBTOTAL(109,N4:N108)</f>
        <v>0</v>
      </c>
      <c r="O109" s="170">
        <f t="shared" si="43"/>
        <v>0</v>
      </c>
      <c r="P109" s="170">
        <f t="shared" si="43"/>
        <v>0</v>
      </c>
      <c r="Q109" s="170">
        <f t="shared" si="43"/>
        <v>0</v>
      </c>
      <c r="R109" s="170">
        <f t="shared" si="43"/>
        <v>0</v>
      </c>
      <c r="S109" s="170">
        <f t="shared" si="43"/>
        <v>0</v>
      </c>
      <c r="T109" s="170">
        <f t="shared" si="43"/>
        <v>0</v>
      </c>
      <c r="U109" s="170">
        <f t="shared" si="43"/>
        <v>0</v>
      </c>
      <c r="V109" s="170">
        <f t="shared" si="43"/>
        <v>0</v>
      </c>
      <c r="W109" s="170">
        <f t="shared" si="43"/>
        <v>0</v>
      </c>
      <c r="X109" s="169">
        <f t="shared" si="43"/>
        <v>0</v>
      </c>
      <c r="Y109" s="169">
        <f t="shared" si="43"/>
        <v>0</v>
      </c>
      <c r="Z109" s="169">
        <f t="shared" si="43"/>
        <v>0</v>
      </c>
      <c r="AA109" s="169">
        <f t="shared" si="43"/>
        <v>0</v>
      </c>
    </row>
    <row r="110" spans="2:27" x14ac:dyDescent="0.2">
      <c r="B110" s="6"/>
      <c r="C110" s="58" t="str">
        <f>"In-house expenses estimated at "&amp;TEXT(ExpensePct,"0.00%")&amp;" of labor fees"</f>
        <v>In-house expenses estimated at 5.00% of labor fees</v>
      </c>
      <c r="D110" s="57">
        <f>ROUND(D109*ExpensePct,0)</f>
        <v>0</v>
      </c>
      <c r="E110" s="59"/>
      <c r="F110" s="6"/>
      <c r="H110" s="41" t="s">
        <v>364</v>
      </c>
      <c r="O110" s="163"/>
      <c r="P110" s="163"/>
      <c r="Q110" s="163"/>
      <c r="R110" s="163"/>
      <c r="S110" s="163"/>
      <c r="T110" s="163"/>
      <c r="U110" s="163"/>
      <c r="V110" s="163"/>
      <c r="W110" s="163"/>
      <c r="X110" s="164"/>
      <c r="Y110" s="165"/>
      <c r="Z110" s="165"/>
      <c r="AA110" s="165"/>
    </row>
    <row r="111" spans="2:27" x14ac:dyDescent="0.2">
      <c r="B111" s="6"/>
      <c r="C111" s="58" t="s">
        <v>281</v>
      </c>
      <c r="D111" s="57">
        <v>0</v>
      </c>
      <c r="E111" s="59"/>
      <c r="F111" s="6"/>
      <c r="H111" s="81" t="s">
        <v>425</v>
      </c>
      <c r="I111" s="81"/>
      <c r="J111" s="81"/>
      <c r="K111" s="81"/>
      <c r="O111" s="163"/>
      <c r="P111" s="163"/>
      <c r="Q111" s="163"/>
      <c r="R111" s="163"/>
      <c r="S111" s="163"/>
      <c r="T111" s="163"/>
      <c r="U111" s="163"/>
      <c r="V111" s="163"/>
      <c r="W111" s="163"/>
      <c r="X111" s="164"/>
      <c r="Y111" s="165"/>
      <c r="Z111" s="165"/>
      <c r="AA111" s="165"/>
    </row>
    <row r="112" spans="2:27" x14ac:dyDescent="0.2">
      <c r="B112" s="6"/>
      <c r="C112" s="58" t="str">
        <f>"State sales tax of "&amp;TEXT(TaxPct,"0.00%")&amp;" on applicable services"</f>
        <v>State sales tax of 8.25% on applicable services</v>
      </c>
      <c r="D112" s="57">
        <f>ROUND(SUMIF($E$4:$E$108,"=*Tax",$D$4:$D$108)*(1+ExpensePct)*TaxPct,0)</f>
        <v>0</v>
      </c>
      <c r="E112" s="59"/>
      <c r="F112" s="6"/>
      <c r="H112" s="41" t="s">
        <v>365</v>
      </c>
      <c r="O112" s="163"/>
      <c r="P112" s="163"/>
      <c r="Q112" s="163"/>
      <c r="R112" s="163"/>
      <c r="S112" s="163"/>
      <c r="T112" s="163"/>
      <c r="U112" s="163"/>
      <c r="V112" s="163"/>
      <c r="W112" s="163"/>
      <c r="X112" s="164"/>
      <c r="Y112" s="165"/>
      <c r="Z112" s="165"/>
      <c r="AA112" s="165"/>
    </row>
    <row r="113" spans="2:27" x14ac:dyDescent="0.2">
      <c r="B113" s="6"/>
      <c r="C113" s="37"/>
      <c r="D113" s="32"/>
      <c r="E113" s="59"/>
      <c r="F113" s="6"/>
      <c r="O113" s="163"/>
      <c r="P113" s="163"/>
      <c r="Q113" s="163"/>
      <c r="R113" s="163"/>
      <c r="S113" s="163"/>
      <c r="T113" s="163"/>
      <c r="U113" s="163"/>
      <c r="V113" s="163"/>
      <c r="W113" s="163"/>
      <c r="X113" s="164"/>
      <c r="Y113" s="165"/>
      <c r="Z113" s="165"/>
      <c r="AA113" s="165"/>
    </row>
    <row r="114" spans="2:27" x14ac:dyDescent="0.2">
      <c r="B114" s="6"/>
      <c r="C114" s="56" t="s">
        <v>30</v>
      </c>
      <c r="D114" s="57">
        <f>SUBTOTAL(109,$D$4:$D$112)</f>
        <v>0</v>
      </c>
      <c r="E114" s="61"/>
      <c r="F114" s="6"/>
      <c r="G114" s="2"/>
      <c r="O114" s="163"/>
      <c r="P114" s="163"/>
      <c r="Q114" s="163"/>
      <c r="R114" s="163"/>
      <c r="S114" s="163"/>
      <c r="T114" s="163"/>
      <c r="U114" s="163"/>
      <c r="V114" s="163"/>
      <c r="W114" s="163"/>
      <c r="X114" s="164"/>
      <c r="Y114" s="165"/>
      <c r="Z114" s="165"/>
      <c r="AA114" s="165"/>
    </row>
    <row r="115" spans="2:27" hidden="1" outlineLevel="1" x14ac:dyDescent="0.2">
      <c r="C115" s="8"/>
      <c r="D115" s="38"/>
      <c r="E115" s="62"/>
      <c r="G115" s="2"/>
      <c r="O115" s="163"/>
      <c r="P115" s="163"/>
      <c r="Q115" s="163"/>
      <c r="R115" s="163"/>
      <c r="S115" s="163"/>
      <c r="T115" s="163"/>
      <c r="U115" s="163"/>
      <c r="V115" s="163"/>
      <c r="W115" s="163"/>
      <c r="X115" s="164"/>
      <c r="Y115" s="165"/>
      <c r="Z115" s="165"/>
      <c r="AA115" s="165"/>
    </row>
    <row r="116" spans="2:27" hidden="1" outlineLevel="1" x14ac:dyDescent="0.2">
      <c r="B116" s="49" t="s">
        <v>95</v>
      </c>
      <c r="C116" s="10"/>
      <c r="D116" s="39"/>
      <c r="E116" s="72"/>
      <c r="F116" s="59"/>
      <c r="G116" s="2"/>
      <c r="H116" s="41" t="s">
        <v>367</v>
      </c>
      <c r="O116" s="163"/>
      <c r="P116" s="163"/>
      <c r="Q116" s="163"/>
      <c r="R116" s="163"/>
      <c r="S116" s="163"/>
      <c r="T116" s="163"/>
      <c r="U116" s="163"/>
      <c r="V116" s="163"/>
      <c r="W116" s="163"/>
      <c r="X116" s="164"/>
      <c r="Y116" s="165"/>
      <c r="Z116" s="165"/>
      <c r="AA116" s="165"/>
    </row>
    <row r="117" spans="2:27" outlineLevel="1" x14ac:dyDescent="0.2">
      <c r="B117" s="48"/>
      <c r="C117" s="12" t="s">
        <v>96</v>
      </c>
      <c r="D117" s="16">
        <f>ROUND(SUMIFS($D$4:$D$108,$F$4:$F$108,$H117,$E$4:$E$108,"=*Tax")*(1+ExpensePct)*TaxPct,0)+ROUND(SUMIFS($D$4:$D$108,$F$4:$F$108,$H117)*(1+ExpensePct),0)</f>
        <v>0</v>
      </c>
      <c r="E117" s="72"/>
      <c r="F117" s="59"/>
      <c r="G117" s="2"/>
      <c r="H117" s="120" t="s">
        <v>48</v>
      </c>
      <c r="O117" s="163"/>
      <c r="P117" s="163"/>
      <c r="Q117" s="163"/>
      <c r="R117" s="163"/>
      <c r="S117" s="163"/>
      <c r="T117" s="163"/>
      <c r="U117" s="163"/>
      <c r="V117" s="163"/>
      <c r="W117" s="163"/>
      <c r="X117" s="164"/>
      <c r="Y117" s="165"/>
      <c r="Z117" s="165"/>
      <c r="AA117" s="165"/>
    </row>
    <row r="118" spans="2:27" outlineLevel="1" x14ac:dyDescent="0.2">
      <c r="B118" s="48"/>
      <c r="C118" s="12" t="s">
        <v>97</v>
      </c>
      <c r="D118" s="16">
        <f>ROUND(SUMIFS($D$4:$D$108,$F$4:$F$108,$H118,$E$4:$E$108,"=*Tax")*(1+ExpensePct)*TaxPct,0)+ROUND(SUMIFS($D$4:$D$108,$F$4:$F$108,$H118)*(1+ExpensePct),0)</f>
        <v>0</v>
      </c>
      <c r="E118" s="72"/>
      <c r="F118" s="59"/>
      <c r="G118" s="2"/>
      <c r="H118" s="120" t="s">
        <v>49</v>
      </c>
      <c r="O118" s="163"/>
      <c r="P118" s="163"/>
      <c r="Q118" s="163"/>
      <c r="R118" s="163"/>
      <c r="S118" s="163"/>
      <c r="T118" s="163"/>
      <c r="U118" s="163"/>
      <c r="V118" s="163"/>
      <c r="W118" s="163"/>
      <c r="X118" s="164"/>
      <c r="Y118" s="165"/>
      <c r="Z118" s="165"/>
      <c r="AA118" s="165"/>
    </row>
    <row r="119" spans="2:27" hidden="1" outlineLevel="1" x14ac:dyDescent="0.2">
      <c r="B119" s="48"/>
      <c r="C119" s="12" t="s">
        <v>98</v>
      </c>
      <c r="D119" s="16">
        <f>ROUND(SUMIFS($D$4:$D$108,$F$4:$F$108,$H119,$E$4:$E$108,"=*Tax")*(1+ExpensePct)*TaxPct,0)+ROUND(SUMIFS($D$4:$D$108,$F$4:$F$108,$H119)*(1+ExpensePct),0)</f>
        <v>0</v>
      </c>
      <c r="E119" s="72"/>
      <c r="F119" s="59"/>
      <c r="G119" s="2"/>
      <c r="H119" s="120" t="s">
        <v>50</v>
      </c>
      <c r="O119" s="163"/>
      <c r="P119" s="163"/>
      <c r="Q119" s="163"/>
      <c r="R119" s="163"/>
      <c r="S119" s="163"/>
      <c r="T119" s="163"/>
      <c r="U119" s="163"/>
      <c r="V119" s="163"/>
      <c r="W119" s="163"/>
      <c r="X119" s="164"/>
      <c r="Y119" s="165"/>
      <c r="Z119" s="165"/>
      <c r="AA119" s="165"/>
    </row>
    <row r="120" spans="2:27" outlineLevel="1" x14ac:dyDescent="0.2">
      <c r="B120" s="48"/>
      <c r="C120" s="11" t="s">
        <v>94</v>
      </c>
      <c r="D120" s="16">
        <f>ROUND(SUMIFS($D$4:$D$108,$F$4:$F$108,$H120,$E$4:$E$108,"=*Tax")*(1+ExpensePct)*TaxPct,0)+ROUND(SUMIFS($D$4:$D$108,$F$4:$F$108,$H120)*(1+ExpensePct),0)</f>
        <v>0</v>
      </c>
      <c r="E120" s="72"/>
      <c r="F120" s="59"/>
      <c r="G120" s="2"/>
      <c r="H120" s="120" t="s">
        <v>100</v>
      </c>
      <c r="O120" s="163"/>
      <c r="P120" s="163"/>
      <c r="Q120" s="163"/>
      <c r="R120" s="163"/>
      <c r="S120" s="163"/>
      <c r="T120" s="163"/>
      <c r="U120" s="163"/>
      <c r="V120" s="163"/>
      <c r="W120" s="163"/>
      <c r="X120" s="164"/>
      <c r="Y120" s="165"/>
      <c r="Z120" s="165"/>
      <c r="AA120" s="165"/>
    </row>
    <row r="121" spans="2:27" outlineLevel="1" x14ac:dyDescent="0.2">
      <c r="B121" s="48"/>
      <c r="C121" s="11" t="str">
        <f>C111</f>
        <v xml:space="preserve">Other expenses, estimated </v>
      </c>
      <c r="D121" s="16">
        <f>D111</f>
        <v>0</v>
      </c>
      <c r="E121" s="72"/>
      <c r="F121" s="59"/>
      <c r="G121" s="2"/>
      <c r="H121" s="120"/>
      <c r="O121" s="163"/>
      <c r="P121" s="163"/>
      <c r="Q121" s="163"/>
      <c r="R121" s="163"/>
      <c r="S121" s="163"/>
      <c r="T121" s="163"/>
      <c r="U121" s="163"/>
      <c r="V121" s="163"/>
      <c r="W121" s="163"/>
      <c r="X121" s="164"/>
      <c r="Y121" s="165"/>
      <c r="Z121" s="165"/>
      <c r="AA121" s="165"/>
    </row>
    <row r="122" spans="2:27" hidden="1" outlineLevel="1" x14ac:dyDescent="0.2">
      <c r="B122" s="48"/>
      <c r="C122" s="17" t="s">
        <v>99</v>
      </c>
      <c r="D122" s="40">
        <f>SUM(D116:D121)</f>
        <v>0</v>
      </c>
      <c r="E122" s="72"/>
      <c r="F122" s="59"/>
      <c r="G122" s="2"/>
      <c r="H122" s="41" t="str">
        <f>IF(D122&lt;&gt;D114,"GRAND TOTALS DON'T MATCH, CHECK FORMULAS","")</f>
        <v/>
      </c>
      <c r="O122" s="163"/>
      <c r="P122" s="163"/>
      <c r="Q122" s="163"/>
      <c r="R122" s="163"/>
      <c r="S122" s="163"/>
      <c r="T122" s="163"/>
      <c r="U122" s="163"/>
      <c r="V122" s="163"/>
      <c r="W122" s="163"/>
      <c r="X122" s="164"/>
      <c r="Y122" s="165"/>
      <c r="Z122" s="165"/>
      <c r="AA122" s="165"/>
    </row>
    <row r="123" spans="2:27" x14ac:dyDescent="0.2">
      <c r="B123" s="203"/>
      <c r="C123" s="8"/>
      <c r="E123" s="62"/>
      <c r="G123" s="2"/>
      <c r="O123" s="163"/>
      <c r="P123" s="163"/>
      <c r="Q123" s="163"/>
      <c r="R123" s="163"/>
      <c r="S123" s="163"/>
      <c r="T123" s="163"/>
      <c r="U123" s="163"/>
      <c r="V123" s="163"/>
      <c r="W123" s="163"/>
      <c r="X123" s="164"/>
      <c r="Y123" s="45"/>
      <c r="Z123" s="45"/>
      <c r="AA123" s="45"/>
    </row>
    <row r="124" spans="2:27" x14ac:dyDescent="0.2">
      <c r="B124" s="51" t="s">
        <v>457</v>
      </c>
      <c r="O124" s="163"/>
      <c r="P124" s="163"/>
      <c r="Q124" s="163"/>
      <c r="R124" s="163"/>
      <c r="S124" s="163"/>
      <c r="T124" s="163"/>
      <c r="U124" s="163"/>
      <c r="V124" s="163"/>
      <c r="W124" s="163"/>
      <c r="X124" s="164"/>
      <c r="Y124" s="45"/>
      <c r="Z124" s="45"/>
      <c r="AA124" s="45"/>
    </row>
    <row r="125" spans="2:27" x14ac:dyDescent="0.2">
      <c r="B125" s="50" t="str">
        <f>IF(H125=0,"","LS = Lump Sum Fee")</f>
        <v/>
      </c>
      <c r="H125" s="85">
        <f>SUMIF($E$3:$E$108,"LS",$D$3:$D$108)+SUMIF($E$3:$E$108,"LS+Tax",$D$3:$D$108)</f>
        <v>0</v>
      </c>
      <c r="I125" s="41" t="s">
        <v>454</v>
      </c>
      <c r="O125" s="163"/>
      <c r="P125" s="163"/>
      <c r="Q125" s="163"/>
      <c r="R125" s="163"/>
      <c r="S125" s="163"/>
      <c r="T125" s="163"/>
      <c r="U125" s="163"/>
      <c r="V125" s="163"/>
      <c r="W125" s="163"/>
      <c r="X125" s="164"/>
      <c r="Y125" s="45"/>
      <c r="Z125" s="45"/>
      <c r="AA125" s="45"/>
    </row>
    <row r="126" spans="2:27" x14ac:dyDescent="0.2">
      <c r="B126" s="50" t="str">
        <f>IF(H126=0,"","H = Hourly Fee Budget Estimate.  Actual fee depends on effort expended.")</f>
        <v/>
      </c>
      <c r="C126" s="24"/>
      <c r="H126" s="85">
        <f>SUMIF($E$3:$E$108,"H",$D$3:$D$108)</f>
        <v>0</v>
      </c>
      <c r="I126" s="41" t="s">
        <v>455</v>
      </c>
      <c r="O126" s="163"/>
      <c r="P126" s="163"/>
      <c r="Q126" s="163"/>
      <c r="R126" s="163"/>
      <c r="S126" s="163"/>
      <c r="T126" s="163"/>
      <c r="U126" s="163"/>
      <c r="V126" s="163"/>
      <c r="W126" s="163"/>
      <c r="X126" s="164"/>
      <c r="Y126" s="45"/>
      <c r="Z126" s="45"/>
      <c r="AA126" s="45"/>
    </row>
    <row r="127" spans="2:27" x14ac:dyDescent="0.2">
      <c r="B127" s="50" t="str">
        <f>IF(H127=0,"","HM = Hourly Max Fee based number of hours of KH staff effort included.")</f>
        <v/>
      </c>
      <c r="C127" s="24"/>
      <c r="H127" s="85">
        <f>SUMIF($E$3:$E$108,"HM",$D$3:$D$108)</f>
        <v>0</v>
      </c>
      <c r="I127" s="41" t="s">
        <v>456</v>
      </c>
      <c r="O127" s="163"/>
      <c r="P127" s="163"/>
      <c r="Q127" s="163"/>
      <c r="R127" s="163"/>
      <c r="S127" s="163"/>
      <c r="T127" s="163"/>
      <c r="U127" s="163"/>
      <c r="V127" s="163"/>
      <c r="W127" s="163"/>
      <c r="X127" s="164"/>
      <c r="Y127" s="45"/>
      <c r="Z127" s="45"/>
      <c r="AA127" s="45"/>
    </row>
    <row r="128" spans="2:27" x14ac:dyDescent="0.2">
      <c r="B128" s="51" t="s">
        <v>104</v>
      </c>
      <c r="H128" s="41" t="s">
        <v>368</v>
      </c>
      <c r="O128" s="42"/>
      <c r="P128" s="45"/>
      <c r="Q128" s="45"/>
      <c r="R128" s="45"/>
      <c r="S128" s="45"/>
      <c r="T128" s="45"/>
      <c r="U128" s="45"/>
      <c r="V128" s="45"/>
      <c r="W128" s="45"/>
      <c r="Y128" s="45"/>
      <c r="Z128" s="45"/>
      <c r="AA128" s="45"/>
    </row>
    <row r="129" spans="2:27" x14ac:dyDescent="0.2">
      <c r="B129" s="50" t="s">
        <v>429</v>
      </c>
      <c r="C129" s="24"/>
      <c r="H129" s="41" t="s">
        <v>424</v>
      </c>
      <c r="O129" s="42"/>
      <c r="P129" s="45"/>
      <c r="Q129" s="45"/>
      <c r="R129" s="45"/>
      <c r="S129" s="45"/>
      <c r="T129" s="45"/>
      <c r="U129" s="45"/>
      <c r="V129" s="45"/>
      <c r="W129" s="45"/>
      <c r="Y129" s="45"/>
      <c r="Z129" s="45"/>
      <c r="AA129" s="45"/>
    </row>
    <row r="130" spans="2:27" x14ac:dyDescent="0.2">
      <c r="B130" s="50" t="s">
        <v>430</v>
      </c>
      <c r="C130" s="24"/>
      <c r="O130" s="42"/>
      <c r="P130" s="45"/>
      <c r="Q130" s="45"/>
      <c r="R130" s="45"/>
      <c r="S130" s="45"/>
      <c r="T130" s="45"/>
      <c r="U130" s="45"/>
      <c r="V130" s="45"/>
      <c r="W130" s="45"/>
      <c r="Y130" s="45"/>
      <c r="Z130" s="45"/>
      <c r="AA130" s="45"/>
    </row>
    <row r="131" spans="2:27" x14ac:dyDescent="0.2">
      <c r="B131" s="50" t="str">
        <f>"All other reimbursable expenses will be invoiced at cost plus a markup of "&amp;TEXT(OtherExpPct,"0.00%")&amp;"."</f>
        <v>All other reimbursable expenses will be invoiced at cost plus a markup of 15.00%.</v>
      </c>
      <c r="C131" s="24"/>
      <c r="O131" s="42"/>
      <c r="P131" s="45"/>
      <c r="Q131" s="45"/>
      <c r="R131" s="45"/>
      <c r="S131" s="45"/>
      <c r="T131" s="45"/>
      <c r="U131" s="45"/>
      <c r="V131" s="45"/>
      <c r="W131" s="45"/>
      <c r="Y131" s="45"/>
      <c r="Z131" s="45"/>
      <c r="AA131" s="45"/>
    </row>
    <row r="132" spans="2:27" x14ac:dyDescent="0.2">
      <c r="B132" s="50"/>
      <c r="C132" s="24"/>
      <c r="O132" s="42"/>
      <c r="P132" s="45"/>
      <c r="Q132" s="45"/>
      <c r="R132" s="45"/>
      <c r="S132" s="45"/>
      <c r="T132" s="45"/>
      <c r="U132" s="45"/>
      <c r="V132" s="45"/>
      <c r="W132" s="45"/>
      <c r="Y132" s="45"/>
      <c r="Z132" s="45"/>
      <c r="AA132" s="45"/>
    </row>
    <row r="133" spans="2:27" x14ac:dyDescent="0.2">
      <c r="B133" s="51" t="s">
        <v>105</v>
      </c>
      <c r="C133" s="24"/>
      <c r="O133" s="42"/>
      <c r="P133" s="45"/>
      <c r="Q133" s="45"/>
      <c r="R133" s="45"/>
      <c r="S133" s="45"/>
      <c r="T133" s="45"/>
      <c r="U133" s="45"/>
      <c r="V133" s="45"/>
      <c r="W133" s="45"/>
      <c r="Y133" s="45"/>
      <c r="Z133" s="45"/>
      <c r="AA133" s="45"/>
    </row>
    <row r="134" spans="2:27" x14ac:dyDescent="0.2">
      <c r="B134" s="50" t="str">
        <f>"Certain survey services are subject to state sales tax of "&amp;TEXT(TaxPct,"0.00%")&amp; "."</f>
        <v>Certain survey services are subject to state sales tax of 8.25%.</v>
      </c>
      <c r="O134" s="42"/>
      <c r="P134" s="45"/>
      <c r="Q134" s="45"/>
      <c r="R134" s="45"/>
      <c r="S134" s="45"/>
      <c r="T134" s="45"/>
      <c r="U134" s="45"/>
      <c r="V134" s="45"/>
      <c r="W134" s="45"/>
      <c r="Y134" s="45"/>
      <c r="Z134" s="45"/>
      <c r="AA134" s="45"/>
    </row>
    <row r="135" spans="2:27" x14ac:dyDescent="0.2">
      <c r="C135" s="24"/>
      <c r="H135" s="186" t="s">
        <v>388</v>
      </c>
      <c r="I135" s="184"/>
      <c r="J135" s="184"/>
      <c r="K135" s="187"/>
      <c r="L135" s="185"/>
      <c r="O135" s="42"/>
      <c r="P135" s="45"/>
      <c r="Q135" s="45"/>
      <c r="R135" s="45"/>
      <c r="S135" s="45"/>
      <c r="T135" s="45"/>
      <c r="U135" s="45"/>
      <c r="V135" s="45"/>
      <c r="W135" s="45"/>
      <c r="Y135" s="45"/>
      <c r="Z135" s="45"/>
      <c r="AA135" s="45"/>
    </row>
    <row r="136" spans="2:27" x14ac:dyDescent="0.2">
      <c r="H136" s="184" t="s">
        <v>489</v>
      </c>
      <c r="I136" s="184"/>
      <c r="J136" s="184"/>
      <c r="K136" s="187"/>
      <c r="L136" s="185"/>
      <c r="O136" s="42"/>
      <c r="P136" s="45"/>
      <c r="Q136" s="45"/>
      <c r="R136" s="45"/>
      <c r="S136" s="45"/>
      <c r="T136" s="45"/>
      <c r="U136" s="45"/>
      <c r="V136" s="45"/>
      <c r="W136" s="45"/>
      <c r="Y136" s="45"/>
      <c r="Z136" s="45"/>
      <c r="AA136" s="45"/>
    </row>
    <row r="137" spans="2:27" x14ac:dyDescent="0.2">
      <c r="O137" s="42"/>
      <c r="P137" s="45"/>
      <c r="Q137" s="45"/>
      <c r="R137" s="45"/>
      <c r="S137" s="45"/>
      <c r="T137" s="45"/>
      <c r="U137" s="45"/>
      <c r="V137" s="45"/>
      <c r="W137" s="45"/>
      <c r="Y137" s="45"/>
      <c r="Z137" s="45"/>
      <c r="AA137" s="45"/>
    </row>
    <row r="138" spans="2:27" x14ac:dyDescent="0.2">
      <c r="B138" s="24"/>
      <c r="O138" s="42"/>
      <c r="P138" s="45"/>
      <c r="Q138" s="45"/>
      <c r="R138" s="45"/>
      <c r="S138" s="45"/>
      <c r="T138" s="45"/>
      <c r="U138" s="45"/>
      <c r="V138" s="45"/>
      <c r="W138" s="45"/>
      <c r="Y138" s="45"/>
      <c r="Z138" s="45"/>
      <c r="AA138" s="45"/>
    </row>
    <row r="139" spans="2:27" x14ac:dyDescent="0.2">
      <c r="B139" s="24"/>
      <c r="O139" s="42"/>
      <c r="P139" s="45"/>
      <c r="Q139" s="45"/>
      <c r="R139" s="45"/>
      <c r="S139" s="45"/>
      <c r="T139" s="45"/>
      <c r="U139" s="45"/>
      <c r="V139" s="45"/>
      <c r="W139" s="45"/>
      <c r="Y139" s="45"/>
      <c r="Z139" s="45"/>
      <c r="AA139" s="45"/>
    </row>
    <row r="140" spans="2:27" x14ac:dyDescent="0.2">
      <c r="B140" s="24"/>
      <c r="O140" s="42"/>
      <c r="P140" s="45"/>
      <c r="Q140" s="45"/>
      <c r="R140" s="45"/>
      <c r="S140" s="45"/>
      <c r="T140" s="45"/>
      <c r="U140" s="45"/>
      <c r="V140" s="45"/>
      <c r="W140" s="45"/>
      <c r="Y140" s="45"/>
      <c r="Z140" s="45"/>
      <c r="AA140" s="45"/>
    </row>
    <row r="141" spans="2:27" x14ac:dyDescent="0.2">
      <c r="O141" s="42"/>
      <c r="P141" s="45"/>
      <c r="Q141" s="45"/>
      <c r="R141" s="45"/>
      <c r="S141" s="45"/>
      <c r="T141" s="45"/>
      <c r="U141" s="45"/>
      <c r="V141" s="45"/>
      <c r="W141" s="45"/>
      <c r="Y141" s="45"/>
      <c r="Z141" s="45"/>
      <c r="AA141" s="45"/>
    </row>
    <row r="142" spans="2:27" x14ac:dyDescent="0.2">
      <c r="O142" s="42"/>
      <c r="P142" s="45"/>
      <c r="Q142" s="45"/>
      <c r="R142" s="45"/>
      <c r="S142" s="45"/>
      <c r="T142" s="45"/>
      <c r="U142" s="45"/>
      <c r="V142" s="45"/>
      <c r="W142" s="45"/>
      <c r="Y142" s="45"/>
      <c r="Z142" s="45"/>
      <c r="AA142" s="45"/>
    </row>
    <row r="143" spans="2:27" x14ac:dyDescent="0.2">
      <c r="O143" s="42"/>
      <c r="P143" s="45"/>
      <c r="Q143" s="45"/>
      <c r="R143" s="45"/>
      <c r="S143" s="45"/>
      <c r="T143" s="45"/>
      <c r="U143" s="45"/>
      <c r="V143" s="45"/>
      <c r="W143" s="45"/>
      <c r="Y143" s="45"/>
      <c r="Z143" s="45"/>
      <c r="AA143" s="45"/>
    </row>
    <row r="144" spans="2:27" x14ac:dyDescent="0.2">
      <c r="O144" s="42"/>
      <c r="P144" s="45"/>
      <c r="Q144" s="45"/>
      <c r="R144" s="45"/>
      <c r="S144" s="45"/>
      <c r="T144" s="45"/>
      <c r="U144" s="45"/>
      <c r="V144" s="45"/>
      <c r="W144" s="45"/>
      <c r="Y144" s="45"/>
      <c r="Z144" s="45"/>
      <c r="AA144" s="45"/>
    </row>
    <row r="145" spans="15:27" x14ac:dyDescent="0.2">
      <c r="O145" s="42"/>
      <c r="P145" s="45"/>
      <c r="Q145" s="45"/>
      <c r="R145" s="45"/>
      <c r="S145" s="45"/>
      <c r="T145" s="45"/>
      <c r="U145" s="45"/>
      <c r="V145" s="45"/>
      <c r="W145" s="45"/>
      <c r="Y145" s="45"/>
      <c r="Z145" s="45"/>
      <c r="AA145" s="45"/>
    </row>
    <row r="146" spans="15:27" x14ac:dyDescent="0.2">
      <c r="O146" s="42"/>
      <c r="P146" s="45"/>
      <c r="Q146" s="45"/>
      <c r="R146" s="45"/>
      <c r="S146" s="45"/>
      <c r="T146" s="45"/>
      <c r="U146" s="45"/>
      <c r="V146" s="45"/>
      <c r="W146" s="45"/>
      <c r="Y146" s="45"/>
      <c r="Z146" s="45"/>
      <c r="AA146" s="45"/>
    </row>
    <row r="147" spans="15:27" x14ac:dyDescent="0.2">
      <c r="O147" s="42"/>
      <c r="P147" s="45"/>
      <c r="Q147" s="45"/>
      <c r="R147" s="45"/>
      <c r="S147" s="45"/>
      <c r="T147" s="45"/>
      <c r="U147" s="45"/>
      <c r="V147" s="45"/>
      <c r="W147" s="45"/>
      <c r="Y147" s="45"/>
      <c r="Z147" s="45"/>
      <c r="AA147" s="45"/>
    </row>
    <row r="148" spans="15:27" x14ac:dyDescent="0.2">
      <c r="O148" s="42"/>
      <c r="P148" s="45"/>
      <c r="Q148" s="45"/>
      <c r="R148" s="45"/>
      <c r="S148" s="45"/>
      <c r="T148" s="45"/>
      <c r="U148" s="45"/>
      <c r="V148" s="45"/>
      <c r="W148" s="45"/>
      <c r="Y148" s="45"/>
      <c r="Z148" s="45"/>
      <c r="AA148" s="45"/>
    </row>
    <row r="149" spans="15:27" x14ac:dyDescent="0.2">
      <c r="O149" s="42"/>
      <c r="P149" s="45"/>
      <c r="Q149" s="45"/>
      <c r="R149" s="45"/>
      <c r="S149" s="45"/>
      <c r="T149" s="45"/>
      <c r="U149" s="45"/>
      <c r="V149" s="45"/>
      <c r="W149" s="45"/>
      <c r="Y149" s="45"/>
      <c r="Z149" s="45"/>
      <c r="AA149" s="45"/>
    </row>
    <row r="150" spans="15:27" x14ac:dyDescent="0.2">
      <c r="O150" s="42"/>
      <c r="P150" s="45"/>
      <c r="Q150" s="45"/>
      <c r="R150" s="45"/>
      <c r="S150" s="45"/>
      <c r="T150" s="45"/>
      <c r="U150" s="45"/>
      <c r="V150" s="45"/>
      <c r="W150" s="45"/>
      <c r="Y150" s="45"/>
      <c r="Z150" s="45"/>
      <c r="AA150" s="45"/>
    </row>
    <row r="151" spans="15:27" x14ac:dyDescent="0.2">
      <c r="O151" s="42"/>
      <c r="P151" s="45"/>
      <c r="Q151" s="45"/>
      <c r="R151" s="45"/>
      <c r="S151" s="45"/>
      <c r="T151" s="45"/>
      <c r="U151" s="45"/>
      <c r="V151" s="45"/>
      <c r="W151" s="45"/>
      <c r="Y151" s="45"/>
      <c r="Z151" s="45"/>
      <c r="AA151" s="45"/>
    </row>
    <row r="152" spans="15:27" x14ac:dyDescent="0.2">
      <c r="O152" s="42"/>
      <c r="P152" s="45"/>
      <c r="Q152" s="45"/>
      <c r="R152" s="45"/>
      <c r="S152" s="45"/>
      <c r="T152" s="45"/>
      <c r="U152" s="45"/>
      <c r="V152" s="45"/>
      <c r="W152" s="45"/>
      <c r="Y152" s="45"/>
      <c r="Z152" s="45"/>
      <c r="AA152" s="45"/>
    </row>
  </sheetData>
  <mergeCells count="1">
    <mergeCell ref="I10:J10"/>
  </mergeCells>
  <conditionalFormatting sqref="B5:F9 B27:F36 B38:F45 B89:F94 B100:F108 B11:F12 B83:F87 B96:F98 B95:C95 C70:C71 B47:F48 B46:C46 B81:F81 C72:F77 B110:F114 B109:C109 E109:F109 B50:F61 C62:F69 B62:B78 B14:F25">
    <cfRule type="expression" dxfId="92" priority="105">
      <formula>AND($D5=0,$D5&lt;&gt;"")</formula>
    </cfRule>
  </conditionalFormatting>
  <conditionalFormatting sqref="B26:F26">
    <cfRule type="expression" dxfId="91" priority="39">
      <formula>AND($D26=0,$D26&lt;&gt;"")</formula>
    </cfRule>
  </conditionalFormatting>
  <conditionalFormatting sqref="B13:F13">
    <cfRule type="expression" dxfId="90" priority="38">
      <formula>AND($D13=0,$D13&lt;&gt;"")</formula>
    </cfRule>
  </conditionalFormatting>
  <conditionalFormatting sqref="B4:F4">
    <cfRule type="expression" dxfId="89" priority="37">
      <formula>AND($D4=0,$D4&lt;&gt;"")</formula>
    </cfRule>
  </conditionalFormatting>
  <conditionalFormatting sqref="B37:F37">
    <cfRule type="expression" dxfId="88" priority="36">
      <formula>AND($D37=0,$D37&lt;&gt;"")</formula>
    </cfRule>
  </conditionalFormatting>
  <conditionalFormatting sqref="B49:F49">
    <cfRule type="expression" dxfId="87" priority="35">
      <formula>AND($D49=0,$D49&lt;&gt;"")</formula>
    </cfRule>
  </conditionalFormatting>
  <conditionalFormatting sqref="B82:F82">
    <cfRule type="expression" dxfId="86" priority="34">
      <formula>AND($D82=0,$D82&lt;&gt;"")</formula>
    </cfRule>
  </conditionalFormatting>
  <conditionalFormatting sqref="B88:F88">
    <cfRule type="expression" dxfId="85" priority="33">
      <formula>AND($D88=0,$D88&lt;&gt;"")</formula>
    </cfRule>
  </conditionalFormatting>
  <conditionalFormatting sqref="B99:F99">
    <cfRule type="expression" dxfId="84" priority="32">
      <formula>AND($D99=0,$D99&lt;&gt;"")</formula>
    </cfRule>
  </conditionalFormatting>
  <conditionalFormatting sqref="B10:C10 E10:F10">
    <cfRule type="expression" dxfId="83" priority="31">
      <formula>AND($D10=0,$D10&lt;&gt;"")</formula>
    </cfRule>
  </conditionalFormatting>
  <conditionalFormatting sqref="D10">
    <cfRule type="expression" dxfId="82" priority="30">
      <formula>AND($D10=0,$D10&lt;&gt;"")</formula>
    </cfRule>
  </conditionalFormatting>
  <conditionalFormatting sqref="Z5:Z77 Z81:Z134">
    <cfRule type="expression" dxfId="81" priority="29">
      <formula>$D5&lt;$Z5</formula>
    </cfRule>
  </conditionalFormatting>
  <conditionalFormatting sqref="AA109">
    <cfRule type="expression" dxfId="80" priority="28">
      <formula>$AA$109&gt;$D$111</formula>
    </cfRule>
  </conditionalFormatting>
  <conditionalFormatting sqref="D95:F95">
    <cfRule type="expression" dxfId="79" priority="27">
      <formula>AND($D95=0,$D95&lt;&gt;"")</formula>
    </cfRule>
  </conditionalFormatting>
  <conditionalFormatting sqref="D70:F70 E71:F71">
    <cfRule type="expression" dxfId="78" priority="26">
      <formula>AND($D70=0,$D70&lt;&gt;"")</formula>
    </cfRule>
  </conditionalFormatting>
  <conditionalFormatting sqref="D46:F46">
    <cfRule type="expression" dxfId="77" priority="25">
      <formula>AND($D46=0,$D46&lt;&gt;"")</formula>
    </cfRule>
  </conditionalFormatting>
  <conditionalFormatting sqref="C78:E78">
    <cfRule type="expression" dxfId="76" priority="24">
      <formula>AND($D78=0,$D78&lt;&gt;"")</formula>
    </cfRule>
  </conditionalFormatting>
  <conditionalFormatting sqref="Z78">
    <cfRule type="expression" dxfId="75" priority="23">
      <formula>$D78&lt;$Z78</formula>
    </cfRule>
  </conditionalFormatting>
  <conditionalFormatting sqref="Z80">
    <cfRule type="expression" dxfId="74" priority="184">
      <formula>$E80&lt;$Z80</formula>
    </cfRule>
  </conditionalFormatting>
  <conditionalFormatting sqref="F78">
    <cfRule type="expression" dxfId="73" priority="22">
      <formula>AND($D78=0,$D78&lt;&gt;"")</formula>
    </cfRule>
  </conditionalFormatting>
  <conditionalFormatting sqref="E80">
    <cfRule type="expression" dxfId="72" priority="19">
      <formula>AND($D80=0,$D80&lt;&gt;"")</formula>
    </cfRule>
  </conditionalFormatting>
  <conditionalFormatting sqref="F80">
    <cfRule type="expression" dxfId="71" priority="18">
      <formula>AND($D80=0,$D80&lt;&gt;"")</formula>
    </cfRule>
  </conditionalFormatting>
  <conditionalFormatting sqref="C80">
    <cfRule type="expression" dxfId="70" priority="16">
      <formula>AND($D80=0,$D80&lt;&gt;"")</formula>
    </cfRule>
  </conditionalFormatting>
  <conditionalFormatting sqref="D80">
    <cfRule type="expression" dxfId="69" priority="15">
      <formula>AND($D80=0,$D80&lt;&gt;"")</formula>
    </cfRule>
  </conditionalFormatting>
  <conditionalFormatting sqref="H108:L109">
    <cfRule type="expression" dxfId="68" priority="185">
      <formula>$D$109&lt;&gt;SUM($D$4:$D$108)/2</formula>
    </cfRule>
  </conditionalFormatting>
  <conditionalFormatting sqref="D109">
    <cfRule type="expression" dxfId="67" priority="14">
      <formula>AND($D109=0,$D109&lt;&gt;"")</formula>
    </cfRule>
  </conditionalFormatting>
  <conditionalFormatting sqref="D109">
    <cfRule type="expression" dxfId="66" priority="13">
      <formula>$D$109&lt;&gt;SUM($D$4:$D$108)/2</formula>
    </cfRule>
  </conditionalFormatting>
  <conditionalFormatting sqref="H122:L122">
    <cfRule type="expression" dxfId="65" priority="12">
      <formula>$D$122&lt;&gt;$D$114</formula>
    </cfRule>
  </conditionalFormatting>
  <conditionalFormatting sqref="D71">
    <cfRule type="expression" dxfId="64" priority="10">
      <formula>AND($D71=0,$D71&lt;&gt;"")</formula>
    </cfRule>
  </conditionalFormatting>
  <conditionalFormatting sqref="F79">
    <cfRule type="expression" dxfId="63" priority="6">
      <formula>AND($D79=0,$D79&lt;&gt;"")</formula>
    </cfRule>
  </conditionalFormatting>
  <conditionalFormatting sqref="Z79">
    <cfRule type="expression" dxfId="62" priority="9">
      <formula>$E79&lt;$Z79</formula>
    </cfRule>
  </conditionalFormatting>
  <conditionalFormatting sqref="E79">
    <cfRule type="expression" dxfId="61" priority="7">
      <formula>AND($D79=0,$D79&lt;&gt;"")</formula>
    </cfRule>
  </conditionalFormatting>
  <conditionalFormatting sqref="C79">
    <cfRule type="expression" dxfId="60" priority="5">
      <formula>AND($D79=0,$D79&lt;&gt;"")</formula>
    </cfRule>
  </conditionalFormatting>
  <conditionalFormatting sqref="D79">
    <cfRule type="expression" dxfId="59" priority="4">
      <formula>AND($D79=0,$D79&lt;&gt;"")</formula>
    </cfRule>
  </conditionalFormatting>
  <conditionalFormatting sqref="B79">
    <cfRule type="expression" dxfId="58" priority="2">
      <formula>AND($D79=0,$D79&lt;&gt;"")</formula>
    </cfRule>
  </conditionalFormatting>
  <conditionalFormatting sqref="B80">
    <cfRule type="expression" dxfId="57" priority="1">
      <formula>AND($D80=0,$D80&lt;&gt;"")</formula>
    </cfRule>
  </conditionalFormatting>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36"/>
  <sheetViews>
    <sheetView topLeftCell="A19" zoomScaleNormal="100" zoomScalePageLayoutView="70" workbookViewId="0">
      <selection activeCell="B29" sqref="B29"/>
    </sheetView>
  </sheetViews>
  <sheetFormatPr defaultColWidth="9" defaultRowHeight="12.75" x14ac:dyDescent="0.2"/>
  <cols>
    <col min="1" max="1" width="4.75" style="74" customWidth="1"/>
    <col min="2" max="2" width="70.75" style="9" customWidth="1"/>
    <col min="3" max="16384" width="9" style="24"/>
  </cols>
  <sheetData>
    <row r="1" spans="1:10" ht="15.75" x14ac:dyDescent="0.2">
      <c r="A1" s="104" t="s">
        <v>207</v>
      </c>
      <c r="B1" s="25"/>
      <c r="C1" s="89" t="s">
        <v>82</v>
      </c>
    </row>
    <row r="2" spans="1:10" x14ac:dyDescent="0.2">
      <c r="A2" s="76"/>
      <c r="C2" s="33" t="s">
        <v>82</v>
      </c>
    </row>
    <row r="3" spans="1:10" x14ac:dyDescent="0.2">
      <c r="A3" s="105" t="s">
        <v>148</v>
      </c>
      <c r="B3" s="25"/>
    </row>
    <row r="4" spans="1:10" ht="27.75" customHeight="1" x14ac:dyDescent="0.2">
      <c r="A4" s="75">
        <v>1</v>
      </c>
      <c r="B4" s="9" t="s">
        <v>219</v>
      </c>
      <c r="C4" s="211"/>
      <c r="D4" s="211"/>
      <c r="E4" s="211"/>
      <c r="F4" s="211"/>
      <c r="G4" s="211"/>
      <c r="H4" s="211"/>
      <c r="I4" s="211"/>
      <c r="J4" s="211"/>
    </row>
    <row r="5" spans="1:10" ht="15.75" customHeight="1" x14ac:dyDescent="0.2">
      <c r="A5" s="75">
        <f>A4+1</f>
        <v>2</v>
      </c>
      <c r="B5" s="9" t="s">
        <v>149</v>
      </c>
    </row>
    <row r="6" spans="1:10" ht="25.5" x14ac:dyDescent="0.2">
      <c r="A6" s="75">
        <f t="shared" ref="A6:A20" si="0">A5+1</f>
        <v>3</v>
      </c>
      <c r="B6" s="9" t="s">
        <v>150</v>
      </c>
    </row>
    <row r="7" spans="1:10" ht="25.5" x14ac:dyDescent="0.2">
      <c r="A7" s="75">
        <f t="shared" si="0"/>
        <v>4</v>
      </c>
      <c r="B7" s="9" t="s">
        <v>290</v>
      </c>
    </row>
    <row r="8" spans="1:10" ht="25.5" x14ac:dyDescent="0.2">
      <c r="A8" s="75">
        <f t="shared" si="0"/>
        <v>5</v>
      </c>
      <c r="B8" s="9" t="s">
        <v>433</v>
      </c>
    </row>
    <row r="9" spans="1:10" ht="38.25" x14ac:dyDescent="0.2">
      <c r="A9" s="75">
        <f t="shared" si="0"/>
        <v>6</v>
      </c>
      <c r="B9" s="9" t="s">
        <v>291</v>
      </c>
    </row>
    <row r="10" spans="1:10" ht="25.5" x14ac:dyDescent="0.2">
      <c r="A10" s="75">
        <f t="shared" si="0"/>
        <v>7</v>
      </c>
      <c r="B10" s="9" t="s">
        <v>292</v>
      </c>
    </row>
    <row r="11" spans="1:10" ht="25.5" x14ac:dyDescent="0.2">
      <c r="A11" s="75">
        <f t="shared" si="0"/>
        <v>8</v>
      </c>
      <c r="B11" s="9" t="s">
        <v>205</v>
      </c>
    </row>
    <row r="12" spans="1:10" ht="167.1" customHeight="1" x14ac:dyDescent="0.2">
      <c r="A12" s="75"/>
      <c r="B12" s="108" t="s">
        <v>585</v>
      </c>
    </row>
    <row r="13" spans="1:10" x14ac:dyDescent="0.2">
      <c r="A13" s="75">
        <f>A11+1</f>
        <v>9</v>
      </c>
      <c r="B13" s="1" t="s">
        <v>206</v>
      </c>
    </row>
    <row r="14" spans="1:10" ht="25.5" x14ac:dyDescent="0.2">
      <c r="A14" s="75">
        <f t="shared" si="0"/>
        <v>10</v>
      </c>
      <c r="B14" s="9" t="s">
        <v>151</v>
      </c>
    </row>
    <row r="15" spans="1:10" ht="63.75" x14ac:dyDescent="0.2">
      <c r="A15" s="75">
        <f t="shared" si="0"/>
        <v>11</v>
      </c>
      <c r="B15" s="103" t="s">
        <v>339</v>
      </c>
    </row>
    <row r="16" spans="1:10" ht="27.75" customHeight="1" x14ac:dyDescent="0.2">
      <c r="A16" s="75">
        <f t="shared" si="0"/>
        <v>12</v>
      </c>
      <c r="B16" s="9" t="s">
        <v>377</v>
      </c>
    </row>
    <row r="17" spans="1:10" ht="114.75" x14ac:dyDescent="0.2">
      <c r="A17" s="75">
        <f t="shared" si="0"/>
        <v>13</v>
      </c>
      <c r="B17" s="147" t="s">
        <v>421</v>
      </c>
    </row>
    <row r="18" spans="1:10" ht="78.75" customHeight="1" x14ac:dyDescent="0.2">
      <c r="A18" s="75">
        <f t="shared" si="0"/>
        <v>14</v>
      </c>
      <c r="B18" s="9" t="s">
        <v>301</v>
      </c>
    </row>
    <row r="19" spans="1:10" ht="64.5" customHeight="1" x14ac:dyDescent="0.2">
      <c r="A19" s="75">
        <f t="shared" si="0"/>
        <v>15</v>
      </c>
      <c r="B19" s="9" t="s">
        <v>422</v>
      </c>
    </row>
    <row r="20" spans="1:10" ht="89.25" x14ac:dyDescent="0.2">
      <c r="A20" s="75">
        <f t="shared" si="0"/>
        <v>16</v>
      </c>
      <c r="B20" s="82" t="s">
        <v>559</v>
      </c>
      <c r="C20" s="197" t="s">
        <v>560</v>
      </c>
    </row>
    <row r="21" spans="1:10" x14ac:dyDescent="0.2">
      <c r="A21" s="75"/>
    </row>
    <row r="22" spans="1:10" x14ac:dyDescent="0.2">
      <c r="A22" s="105" t="s">
        <v>293</v>
      </c>
    </row>
    <row r="23" spans="1:10" ht="25.5" x14ac:dyDescent="0.2">
      <c r="A23" s="75">
        <v>1</v>
      </c>
      <c r="B23" s="9" t="s">
        <v>208</v>
      </c>
      <c r="C23" s="211"/>
      <c r="D23" s="211"/>
      <c r="E23" s="211"/>
      <c r="F23" s="211"/>
      <c r="G23" s="211"/>
      <c r="H23" s="211"/>
      <c r="I23" s="211"/>
      <c r="J23" s="211"/>
    </row>
    <row r="24" spans="1:10" ht="51" x14ac:dyDescent="0.2">
      <c r="A24" s="75">
        <f t="shared" ref="A24:A34" si="1">A23+1</f>
        <v>2</v>
      </c>
      <c r="B24" s="9" t="s">
        <v>152</v>
      </c>
    </row>
    <row r="25" spans="1:10" ht="25.5" x14ac:dyDescent="0.2">
      <c r="A25" s="75">
        <f t="shared" si="1"/>
        <v>3</v>
      </c>
      <c r="B25" s="9" t="s">
        <v>385</v>
      </c>
    </row>
    <row r="26" spans="1:10" ht="25.5" x14ac:dyDescent="0.2">
      <c r="A26" s="75">
        <f t="shared" si="1"/>
        <v>4</v>
      </c>
      <c r="B26" s="9" t="s">
        <v>153</v>
      </c>
    </row>
    <row r="27" spans="1:10" ht="25.5" x14ac:dyDescent="0.2">
      <c r="A27" s="75">
        <f t="shared" si="1"/>
        <v>5</v>
      </c>
      <c r="B27" s="9" t="s">
        <v>154</v>
      </c>
    </row>
    <row r="28" spans="1:10" ht="38.25" x14ac:dyDescent="0.2">
      <c r="A28" s="75">
        <f t="shared" si="1"/>
        <v>6</v>
      </c>
      <c r="B28" s="9" t="s">
        <v>155</v>
      </c>
    </row>
    <row r="29" spans="1:10" x14ac:dyDescent="0.2">
      <c r="A29" s="75">
        <f t="shared" si="1"/>
        <v>7</v>
      </c>
      <c r="B29" s="9" t="s">
        <v>156</v>
      </c>
    </row>
    <row r="30" spans="1:10" ht="14.25" customHeight="1" x14ac:dyDescent="0.2">
      <c r="A30" s="75">
        <f t="shared" si="1"/>
        <v>8</v>
      </c>
      <c r="B30" s="9" t="s">
        <v>157</v>
      </c>
    </row>
    <row r="31" spans="1:10" x14ac:dyDescent="0.2">
      <c r="A31" s="75">
        <f t="shared" si="1"/>
        <v>9</v>
      </c>
      <c r="B31" s="9" t="s">
        <v>158</v>
      </c>
    </row>
    <row r="32" spans="1:10" ht="38.25" x14ac:dyDescent="0.2">
      <c r="A32" s="75">
        <f t="shared" si="1"/>
        <v>10</v>
      </c>
      <c r="B32" s="9" t="s">
        <v>159</v>
      </c>
    </row>
    <row r="33" spans="1:2" ht="114.75" x14ac:dyDescent="0.2">
      <c r="A33" s="75">
        <f t="shared" si="1"/>
        <v>11</v>
      </c>
      <c r="B33" s="9" t="s">
        <v>209</v>
      </c>
    </row>
    <row r="34" spans="1:2" ht="76.5" x14ac:dyDescent="0.2">
      <c r="A34" s="75">
        <f t="shared" si="1"/>
        <v>12</v>
      </c>
      <c r="B34" s="9" t="s">
        <v>420</v>
      </c>
    </row>
    <row r="36" spans="1:2" x14ac:dyDescent="0.2">
      <c r="B36" s="82" t="s">
        <v>232</v>
      </c>
    </row>
  </sheetData>
  <mergeCells count="2">
    <mergeCell ref="C4:J4"/>
    <mergeCell ref="C23:J23"/>
  </mergeCells>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95"/>
  <sheetViews>
    <sheetView topLeftCell="A187" zoomScale="130" zoomScaleNormal="130" zoomScalePageLayoutView="70" workbookViewId="0">
      <selection activeCell="D1" sqref="D1:D1048576"/>
    </sheetView>
  </sheetViews>
  <sheetFormatPr defaultColWidth="9" defaultRowHeight="12.75" x14ac:dyDescent="0.2"/>
  <cols>
    <col min="1" max="1" width="76.75" style="79" customWidth="1"/>
    <col min="2" max="2" width="7.75" style="124" customWidth="1"/>
    <col min="3" max="3" width="27.75" style="114" customWidth="1"/>
    <col min="4" max="5" width="9" style="115"/>
    <col min="6" max="6" width="9" style="23"/>
    <col min="7" max="16384" width="9" style="24"/>
  </cols>
  <sheetData>
    <row r="1" spans="1:6" ht="15.75" x14ac:dyDescent="0.2">
      <c r="A1" s="70" t="s">
        <v>145</v>
      </c>
      <c r="B1" s="121" t="s">
        <v>80</v>
      </c>
      <c r="C1" s="112" t="s">
        <v>127</v>
      </c>
      <c r="D1" s="113" t="s">
        <v>0</v>
      </c>
      <c r="E1" s="113" t="s">
        <v>0</v>
      </c>
      <c r="F1" s="116"/>
    </row>
    <row r="2" spans="1:6" s="1" customFormat="1" ht="24" x14ac:dyDescent="0.2">
      <c r="A2" s="98" t="str">
        <f ca="1">CHAR(10)&amp;"Task "&amp;B2&amp;" - "&amp;C2&amp;IF($D2&gt;0,""," (Not included in proposal)")</f>
        <v xml:space="preserve">
Task 101 - Information Gathering</v>
      </c>
      <c r="B2" s="122">
        <v>101</v>
      </c>
      <c r="C2" s="114" t="str">
        <f ca="1">VLOOKUP($B2,TaskTable!$B:$E,2,FALSE)</f>
        <v>Information Gathering</v>
      </c>
      <c r="D2" s="115">
        <v>2500</v>
      </c>
      <c r="E2" s="115">
        <v>2500</v>
      </c>
      <c r="F2" s="23"/>
    </row>
    <row r="3" spans="1:6" ht="60" x14ac:dyDescent="0.2">
      <c r="A3" s="79" t="s">
        <v>242</v>
      </c>
      <c r="B3" s="123">
        <v>101</v>
      </c>
      <c r="C3" s="114" t="str">
        <f ca="1">VLOOKUP($B3,TaskTable!$B:$E,2,FALSE)</f>
        <v>Information Gathering</v>
      </c>
      <c r="D3" s="115">
        <f ca="1">VLOOKUP($B3,TaskTable!$B:$E,3,FALSE)</f>
        <v>0</v>
      </c>
      <c r="E3" s="115">
        <f ca="1">VLOOKUP($B3,TaskTable!$B:$E,3,FALSE)</f>
        <v>0</v>
      </c>
    </row>
    <row r="4" spans="1:6" s="1" customFormat="1" ht="24" x14ac:dyDescent="0.2">
      <c r="A4" s="98" t="str">
        <f ca="1">CHAR(10)&amp;"Task "&amp;B4&amp;" - "&amp;C4&amp;IF($D4&gt;0,""," (Not included in proposal)")</f>
        <v xml:space="preserve">
Task 102 - Pre-Application Meeting (Not included in proposal)</v>
      </c>
      <c r="B4" s="122">
        <v>102</v>
      </c>
      <c r="C4" s="114" t="str">
        <f ca="1">VLOOKUP($B4,TaskTable!$B:$E,2,FALSE)</f>
        <v>Pre-Application Meeting</v>
      </c>
      <c r="D4" s="115">
        <f ca="1">VLOOKUP($B4,TaskTable!$B:$E,3,FALSE)</f>
        <v>0</v>
      </c>
      <c r="E4" s="115">
        <f ca="1">VLOOKUP($B4,TaskTable!$B:$E,3,FALSE)</f>
        <v>0</v>
      </c>
      <c r="F4" s="114"/>
    </row>
    <row r="5" spans="1:6" ht="48" x14ac:dyDescent="0.2">
      <c r="A5" s="79" t="s">
        <v>240</v>
      </c>
      <c r="B5" s="122">
        <v>102</v>
      </c>
      <c r="C5" s="114" t="str">
        <f ca="1">VLOOKUP($B5,TaskTable!$B:$E,2,FALSE)</f>
        <v>Pre-Application Meeting</v>
      </c>
      <c r="D5" s="115">
        <f ca="1">VLOOKUP($B5,TaskTable!$B:$E,3,FALSE)</f>
        <v>0</v>
      </c>
      <c r="E5" s="115">
        <f ca="1">VLOOKUP($B5,TaskTable!$B:$E,3,FALSE)</f>
        <v>0</v>
      </c>
    </row>
    <row r="6" spans="1:6" s="1" customFormat="1" ht="24" x14ac:dyDescent="0.2">
      <c r="A6" s="98" t="str">
        <f ca="1">CHAR(10)&amp;"Task "&amp;B6&amp;" - "&amp;C6&amp;IF($D6&gt;0,""," (Not included in proposal)")</f>
        <v xml:space="preserve">
Task 103 - Project Schedule (Not included in proposal)</v>
      </c>
      <c r="B6" s="122">
        <v>103</v>
      </c>
      <c r="C6" s="114" t="str">
        <f ca="1">VLOOKUP($B6,TaskTable!$B:$E,2,FALSE)</f>
        <v>Project Schedule</v>
      </c>
      <c r="D6" s="115">
        <f ca="1">VLOOKUP($B6,TaskTable!$B:$E,3,FALSE)</f>
        <v>0</v>
      </c>
      <c r="E6" s="115">
        <f ca="1">VLOOKUP($B6,TaskTable!$B:$E,3,FALSE)</f>
        <v>0</v>
      </c>
    </row>
    <row r="7" spans="1:6" ht="60" x14ac:dyDescent="0.2">
      <c r="A7" s="79" t="s">
        <v>243</v>
      </c>
      <c r="B7" s="122">
        <v>103</v>
      </c>
      <c r="C7" s="114" t="str">
        <f ca="1">VLOOKUP($B7,TaskTable!$B:$E,2,FALSE)</f>
        <v>Project Schedule</v>
      </c>
      <c r="D7" s="115">
        <f ca="1">VLOOKUP($B7,TaskTable!$B:$E,3,FALSE)</f>
        <v>0</v>
      </c>
      <c r="E7" s="115">
        <f ca="1">VLOOKUP($B7,TaskTable!$B:$E,3,FALSE)</f>
        <v>0</v>
      </c>
      <c r="F7" s="24"/>
    </row>
    <row r="8" spans="1:6" s="1" customFormat="1" ht="24" x14ac:dyDescent="0.2">
      <c r="A8" s="98" t="str">
        <f ca="1">CHAR(10)&amp;"Task "&amp;B8&amp;" - "&amp;C8&amp;IF($D8&gt;0,""," (Not included in proposal)")</f>
        <v xml:space="preserve">
Task 104 - Utility Availability Letters (Not included in proposal)</v>
      </c>
      <c r="B8" s="122">
        <v>104</v>
      </c>
      <c r="C8" s="114" t="str">
        <f ca="1">VLOOKUP($B8,TaskTable!$B:$E,2,FALSE)</f>
        <v>Utility Availability Letters</v>
      </c>
      <c r="D8" s="115">
        <f ca="1">VLOOKUP($B8,TaskTable!$B:$E,3,FALSE)</f>
        <v>0</v>
      </c>
      <c r="E8" s="115">
        <f ca="1">VLOOKUP($B8,TaskTable!$B:$E,3,FALSE)</f>
        <v>0</v>
      </c>
    </row>
    <row r="9" spans="1:6" ht="60" x14ac:dyDescent="0.2">
      <c r="A9" s="79" t="s">
        <v>241</v>
      </c>
      <c r="B9" s="122">
        <v>104</v>
      </c>
      <c r="C9" s="114" t="str">
        <f ca="1">VLOOKUP($B9,TaskTable!$B:$E,2,FALSE)</f>
        <v>Utility Availability Letters</v>
      </c>
      <c r="D9" s="115">
        <f ca="1">VLOOKUP($B9,TaskTable!$B:$E,3,FALSE)</f>
        <v>0</v>
      </c>
      <c r="E9" s="115">
        <f ca="1">VLOOKUP($B9,TaskTable!$B:$E,3,FALSE)</f>
        <v>0</v>
      </c>
      <c r="F9" s="24"/>
    </row>
    <row r="10" spans="1:6" s="1" customFormat="1" ht="24" x14ac:dyDescent="0.2">
      <c r="A10" s="98" t="str">
        <f ca="1">CHAR(10)&amp;"Task "&amp;B10&amp;" - "&amp;C10&amp;IF($D10&gt;0,""," (Not included in proposal)")</f>
        <v xml:space="preserve">
Task 105 - Site Investigation Report (SIR)  (Not included in proposal)</v>
      </c>
      <c r="B10" s="122">
        <v>105</v>
      </c>
      <c r="C10" s="114" t="str">
        <f ca="1">VLOOKUP($B10,TaskTable!$B:$E,2,FALSE)</f>
        <v xml:space="preserve">Site Investigation Report (SIR) </v>
      </c>
      <c r="D10" s="115">
        <f ca="1">VLOOKUP($B10,TaskTable!$B:$E,3,FALSE)</f>
        <v>0</v>
      </c>
      <c r="E10" s="115">
        <f ca="1">VLOOKUP($B10,TaskTable!$B:$E,3,FALSE)</f>
        <v>0</v>
      </c>
    </row>
    <row r="11" spans="1:6" ht="24" x14ac:dyDescent="0.2">
      <c r="A11" s="79" t="s">
        <v>294</v>
      </c>
      <c r="B11" s="122">
        <v>105</v>
      </c>
      <c r="C11" s="114" t="str">
        <f ca="1">VLOOKUP($B11,TaskTable!$B:$E,2,FALSE)</f>
        <v xml:space="preserve">Site Investigation Report (SIR) </v>
      </c>
      <c r="D11" s="115">
        <f ca="1">VLOOKUP($B11,TaskTable!$B:$E,3,FALSE)</f>
        <v>0</v>
      </c>
      <c r="E11" s="115">
        <f ca="1">VLOOKUP($B11,TaskTable!$B:$E,3,FALSE)</f>
        <v>0</v>
      </c>
      <c r="F11" s="24"/>
    </row>
    <row r="12" spans="1:6" ht="93.6" customHeight="1" x14ac:dyDescent="0.2">
      <c r="A12" s="79" t="s">
        <v>295</v>
      </c>
      <c r="B12" s="122">
        <v>105</v>
      </c>
      <c r="C12" s="114" t="str">
        <f ca="1">VLOOKUP($B12,TaskTable!$B:$E,2,FALSE)</f>
        <v xml:space="preserve">Site Investigation Report (SIR) </v>
      </c>
      <c r="D12" s="115">
        <f ca="1">VLOOKUP($B12,TaskTable!$B:$E,3,FALSE)</f>
        <v>0</v>
      </c>
      <c r="E12" s="115">
        <f ca="1">VLOOKUP($B12,TaskTable!$B:$E,3,FALSE)</f>
        <v>0</v>
      </c>
      <c r="F12" s="24"/>
    </row>
    <row r="13" spans="1:6" ht="72" x14ac:dyDescent="0.2">
      <c r="A13" s="79" t="s">
        <v>296</v>
      </c>
      <c r="B13" s="122">
        <v>105</v>
      </c>
      <c r="C13" s="114" t="str">
        <f ca="1">VLOOKUP($B13,TaskTable!$B:$E,2,FALSE)</f>
        <v xml:space="preserve">Site Investigation Report (SIR) </v>
      </c>
      <c r="D13" s="115">
        <f ca="1">VLOOKUP($B13,TaskTable!$B:$E,3,FALSE)</f>
        <v>0</v>
      </c>
      <c r="E13" s="115">
        <f ca="1">VLOOKUP($B13,TaskTable!$B:$E,3,FALSE)</f>
        <v>0</v>
      </c>
      <c r="F13" s="24"/>
    </row>
    <row r="14" spans="1:6" ht="108" x14ac:dyDescent="0.2">
      <c r="A14" s="79" t="s">
        <v>244</v>
      </c>
      <c r="B14" s="122">
        <v>105</v>
      </c>
      <c r="C14" s="114" t="str">
        <f ca="1">VLOOKUP($B14,TaskTable!$B:$E,2,FALSE)</f>
        <v xml:space="preserve">Site Investigation Report (SIR) </v>
      </c>
      <c r="D14" s="115">
        <f ca="1">VLOOKUP($B14,TaskTable!$B:$E,3,FALSE)</f>
        <v>0</v>
      </c>
      <c r="E14" s="115">
        <f ca="1">VLOOKUP($B14,TaskTable!$B:$E,3,FALSE)</f>
        <v>0</v>
      </c>
      <c r="F14" s="24"/>
    </row>
    <row r="15" spans="1:6" s="1" customFormat="1" ht="24" x14ac:dyDescent="0.2">
      <c r="A15" s="98" t="str">
        <f ca="1">CHAR(10)&amp;"Task "&amp;B15&amp;" - "&amp;C15&amp;IF($D15&gt;0,""," (Not included in proposal)")</f>
        <v xml:space="preserve">
Task 106 - On-Call Services (Not included in proposal)</v>
      </c>
      <c r="B15" s="122">
        <v>106</v>
      </c>
      <c r="C15" s="114" t="str">
        <f ca="1">VLOOKUP($B15,TaskTable!$B:$E,2,FALSE)</f>
        <v>On-Call Services</v>
      </c>
      <c r="D15" s="115">
        <f ca="1">VLOOKUP($B15,TaskTable!$B:$E,3,FALSE)</f>
        <v>0</v>
      </c>
      <c r="E15" s="115">
        <f ca="1">VLOOKUP($B15,TaskTable!$B:$E,3,FALSE)</f>
        <v>0</v>
      </c>
    </row>
    <row r="16" spans="1:6" ht="36" x14ac:dyDescent="0.2">
      <c r="A16" s="79" t="s">
        <v>193</v>
      </c>
      <c r="B16" s="122">
        <v>106</v>
      </c>
      <c r="C16" s="114" t="str">
        <f ca="1">VLOOKUP($B16,TaskTable!$B:$E,2,FALSE)</f>
        <v>On-Call Services</v>
      </c>
      <c r="D16" s="115">
        <f ca="1">VLOOKUP($B16,TaskTable!$B:$E,3,FALSE)</f>
        <v>0</v>
      </c>
      <c r="E16" s="115">
        <f ca="1">VLOOKUP($B16,TaskTable!$B:$E,3,FALSE)</f>
        <v>0</v>
      </c>
      <c r="F16" s="24"/>
    </row>
    <row r="17" spans="1:11" s="1" customFormat="1" ht="24" x14ac:dyDescent="0.2">
      <c r="A17" s="98" t="str">
        <f ca="1">CHAR(10)&amp;"Task "&amp;B17&amp;" - "&amp;C17&amp;IF($D17&gt;0,""," (Not included in proposal)")</f>
        <v xml:space="preserve">
Task 107 - Other (Not included in proposal)</v>
      </c>
      <c r="B17" s="122">
        <v>107</v>
      </c>
      <c r="C17" s="114" t="str">
        <f ca="1">VLOOKUP($B17,TaskTable!$B:$E,2,FALSE)</f>
        <v>Other</v>
      </c>
      <c r="D17" s="115">
        <f ca="1">VLOOKUP($B17,TaskTable!$B:$E,3,FALSE)</f>
        <v>0</v>
      </c>
      <c r="E17" s="115">
        <f ca="1">VLOOKUP($B17,TaskTable!$B:$E,3,FALSE)</f>
        <v>0</v>
      </c>
    </row>
    <row r="18" spans="1:11" x14ac:dyDescent="0.2">
      <c r="A18" s="79" t="s">
        <v>132</v>
      </c>
      <c r="B18" s="122">
        <v>107</v>
      </c>
      <c r="C18" s="114" t="str">
        <f ca="1">VLOOKUP($B18,TaskTable!$B:$E,2,FALSE)</f>
        <v>Other</v>
      </c>
      <c r="D18" s="115">
        <f ca="1">VLOOKUP($B18,TaskTable!$B:$E,3,FALSE)</f>
        <v>0</v>
      </c>
      <c r="E18" s="115">
        <f ca="1">VLOOKUP($B18,TaskTable!$B:$E,3,FALSE)</f>
        <v>0</v>
      </c>
      <c r="F18" s="24"/>
    </row>
    <row r="19" spans="1:11" s="1" customFormat="1" ht="24" x14ac:dyDescent="0.2">
      <c r="A19" s="98" t="str">
        <f ca="1">CHAR(10)&amp;"Task "&amp;B19&amp;" - "&amp;C19&amp;IF($D19&gt;0,""," (Not included in proposal)")</f>
        <v xml:space="preserve">
Task 201 - Boundary Retracement  (Not included in proposal)</v>
      </c>
      <c r="B19" s="122">
        <v>201</v>
      </c>
      <c r="C19" s="114" t="str">
        <f ca="1">VLOOKUP($B19,TaskTable!$B:$E,2,FALSE)</f>
        <v xml:space="preserve">Boundary Retracement </v>
      </c>
      <c r="D19" s="115">
        <f ca="1">VLOOKUP($B19,TaskTable!$B:$E,3,FALSE)</f>
        <v>0</v>
      </c>
      <c r="E19" s="115">
        <f ca="1">VLOOKUP($B19,TaskTable!$B:$E,3,FALSE)</f>
        <v>0</v>
      </c>
    </row>
    <row r="20" spans="1:11" s="23" customFormat="1" ht="54.75" customHeight="1" x14ac:dyDescent="0.2">
      <c r="A20" s="79" t="s">
        <v>494</v>
      </c>
      <c r="B20" s="122">
        <v>201</v>
      </c>
      <c r="C20" s="114" t="str">
        <f ca="1">VLOOKUP($B20,TaskTable!$B:$E,2,FALSE)</f>
        <v xml:space="preserve">Boundary Retracement </v>
      </c>
      <c r="D20" s="115">
        <f ca="1">VLOOKUP($B20,TaskTable!$B:$E,3,FALSE)</f>
        <v>0</v>
      </c>
      <c r="E20" s="115">
        <f ca="1">VLOOKUP($B20,TaskTable!$B:$E,3,FALSE)</f>
        <v>0</v>
      </c>
      <c r="F20" s="24"/>
      <c r="G20" s="24"/>
      <c r="H20" s="24"/>
      <c r="I20" s="24"/>
      <c r="J20" s="24"/>
      <c r="K20" s="24"/>
    </row>
    <row r="21" spans="1:11" s="1" customFormat="1" ht="24" x14ac:dyDescent="0.2">
      <c r="A21" s="98" t="str">
        <f ca="1">CHAR(10)&amp;"Task "&amp;B21&amp;" - "&amp;C21&amp;IF($D21&gt;0,""," (Not included in proposal)")</f>
        <v xml:space="preserve">
Task 202 - ALTA Boundary Survey (Not included in proposal)</v>
      </c>
      <c r="B21" s="122">
        <v>202</v>
      </c>
      <c r="C21" s="114" t="str">
        <f ca="1">VLOOKUP($B21,TaskTable!$B:$E,2,FALSE)</f>
        <v>ALTA Boundary Survey</v>
      </c>
      <c r="D21" s="115">
        <f ca="1">VLOOKUP($B21,TaskTable!$B:$E,3,FALSE)</f>
        <v>0</v>
      </c>
      <c r="E21" s="115">
        <f ca="1">VLOOKUP($B21,TaskTable!$B:$E,3,FALSE)</f>
        <v>0</v>
      </c>
    </row>
    <row r="22" spans="1:11" s="23" customFormat="1" ht="142.5" x14ac:dyDescent="0.2">
      <c r="A22" s="79" t="s">
        <v>556</v>
      </c>
      <c r="B22" s="122">
        <v>202</v>
      </c>
      <c r="C22" s="114" t="str">
        <f ca="1">VLOOKUP($B22,TaskTable!$B:$E,2,FALSE)</f>
        <v>ALTA Boundary Survey</v>
      </c>
      <c r="D22" s="115">
        <f ca="1">VLOOKUP($B22,TaskTable!$B:$E,3,FALSE)</f>
        <v>0</v>
      </c>
      <c r="E22" s="115">
        <f ca="1">VLOOKUP($B22,TaskTable!$B:$E,3,FALSE)</f>
        <v>0</v>
      </c>
      <c r="F22" s="24"/>
      <c r="G22" s="24"/>
      <c r="H22" s="24"/>
      <c r="I22" s="24"/>
      <c r="J22" s="24"/>
      <c r="K22" s="24"/>
    </row>
    <row r="23" spans="1:11" s="1" customFormat="1" ht="24" x14ac:dyDescent="0.2">
      <c r="A23" s="98" t="str">
        <f ca="1">CHAR(10)&amp;"Task "&amp;B23&amp;" - "&amp;C23&amp;IF($D23&gt;0,""," (Not included in proposal)")</f>
        <v xml:space="preserve">
Task 203 - Topographic Survey (Not included in proposal)</v>
      </c>
      <c r="B23" s="122">
        <v>203</v>
      </c>
      <c r="C23" s="114" t="str">
        <f ca="1">VLOOKUP($B23,TaskTable!$B:$E,2,FALSE)</f>
        <v>Topographic Survey</v>
      </c>
      <c r="D23" s="115">
        <f ca="1">VLOOKUP($B23,TaskTable!$B:$E,3,FALSE)</f>
        <v>0</v>
      </c>
      <c r="E23" s="115">
        <f ca="1">VLOOKUP($B23,TaskTable!$B:$E,3,FALSE)</f>
        <v>0</v>
      </c>
    </row>
    <row r="24" spans="1:11" s="23" customFormat="1" ht="106.5" x14ac:dyDescent="0.2">
      <c r="A24" s="79" t="s">
        <v>495</v>
      </c>
      <c r="B24" s="122">
        <v>203</v>
      </c>
      <c r="C24" s="114" t="str">
        <f ca="1">VLOOKUP($B24,TaskTable!$B:$E,2,FALSE)</f>
        <v>Topographic Survey</v>
      </c>
      <c r="D24" s="115">
        <f ca="1">VLOOKUP($B24,TaskTable!$B:$E,3,FALSE)</f>
        <v>0</v>
      </c>
      <c r="E24" s="115">
        <f ca="1">VLOOKUP($B24,TaskTable!$B:$E,3,FALSE)</f>
        <v>0</v>
      </c>
      <c r="F24" s="24"/>
      <c r="G24" s="24"/>
      <c r="H24" s="24"/>
      <c r="I24" s="24"/>
      <c r="J24" s="24"/>
      <c r="K24" s="24"/>
    </row>
    <row r="25" spans="1:11" s="1" customFormat="1" ht="24" x14ac:dyDescent="0.2">
      <c r="A25" s="98" t="str">
        <f ca="1">CHAR(10)&amp;"Task "&amp;B25&amp;" - "&amp;C25&amp;IF($D25&gt;0,""," (Not included in proposal)")</f>
        <v xml:space="preserve">
Task 204 - Subsurface Utility Exploration (SUE) (Not included in proposal)</v>
      </c>
      <c r="B25" s="122">
        <v>204</v>
      </c>
      <c r="C25" s="114" t="str">
        <f ca="1">VLOOKUP($B25,TaskTable!$B:$E,2,FALSE)</f>
        <v>Subsurface Utility Exploration (SUE)</v>
      </c>
      <c r="D25" s="115">
        <f ca="1">VLOOKUP($B25,TaskTable!$B:$E,3,FALSE)</f>
        <v>0</v>
      </c>
      <c r="E25" s="115">
        <f ca="1">VLOOKUP($B25,TaskTable!$B:$E,3,FALSE)</f>
        <v>0</v>
      </c>
    </row>
    <row r="26" spans="1:11" s="23" customFormat="1" ht="36" x14ac:dyDescent="0.2">
      <c r="A26" s="79" t="s">
        <v>195</v>
      </c>
      <c r="B26" s="122">
        <v>204</v>
      </c>
      <c r="C26" s="114" t="str">
        <f ca="1">VLOOKUP($B26,TaskTable!$B:$E,2,FALSE)</f>
        <v>Subsurface Utility Exploration (SUE)</v>
      </c>
      <c r="D26" s="115">
        <f ca="1">VLOOKUP($B26,TaskTable!$B:$E,3,FALSE)</f>
        <v>0</v>
      </c>
      <c r="E26" s="115">
        <f ca="1">VLOOKUP($B26,TaskTable!$B:$E,3,FALSE)</f>
        <v>0</v>
      </c>
      <c r="F26" s="24"/>
      <c r="G26" s="24"/>
      <c r="H26" s="24"/>
      <c r="I26" s="24"/>
      <c r="J26" s="24"/>
      <c r="K26" s="24"/>
    </row>
    <row r="27" spans="1:11" ht="24" x14ac:dyDescent="0.2">
      <c r="A27" s="98" t="str">
        <f ca="1">CHAR(10)&amp;"Task "&amp;B27&amp;" - "&amp;C27&amp;IF($D27&gt;0,""," (Not included in proposal)")</f>
        <v xml:space="preserve">
Task 205 - Tree Survey (Not included in proposal)</v>
      </c>
      <c r="B27" s="122">
        <v>205</v>
      </c>
      <c r="C27" s="114" t="str">
        <f ca="1">VLOOKUP($B27,TaskTable!$B:$E,2,FALSE)</f>
        <v>Tree Survey</v>
      </c>
      <c r="D27" s="115">
        <f ca="1">VLOOKUP($B27,TaskTable!$B:$E,3,FALSE)</f>
        <v>0</v>
      </c>
      <c r="E27" s="115">
        <f ca="1">VLOOKUP($B27,TaskTable!$B:$E,3,FALSE)</f>
        <v>0</v>
      </c>
      <c r="F27" s="24"/>
    </row>
    <row r="28" spans="1:11" s="23" customFormat="1" ht="64.5" customHeight="1" x14ac:dyDescent="0.2">
      <c r="A28" s="79" t="s">
        <v>245</v>
      </c>
      <c r="B28" s="122">
        <v>205</v>
      </c>
      <c r="C28" s="114" t="str">
        <f ca="1">VLOOKUP($B28,TaskTable!$B:$E,2,FALSE)</f>
        <v>Tree Survey</v>
      </c>
      <c r="D28" s="115">
        <f ca="1">VLOOKUP($B28,TaskTable!$B:$E,3,FALSE)</f>
        <v>0</v>
      </c>
      <c r="E28" s="115">
        <f ca="1">VLOOKUP($B28,TaskTable!$B:$E,3,FALSE)</f>
        <v>0</v>
      </c>
      <c r="F28" s="24"/>
      <c r="G28" s="24"/>
      <c r="H28" s="24"/>
      <c r="I28" s="24"/>
      <c r="J28" s="24"/>
      <c r="K28" s="24"/>
    </row>
    <row r="29" spans="1:11" s="1" customFormat="1" ht="24" x14ac:dyDescent="0.2">
      <c r="A29" s="98" t="str">
        <f ca="1">CHAR(10)&amp;"Task "&amp;B29&amp;" - "&amp;C29&amp;IF($D29&gt;0,""," (Not included in proposal)")</f>
        <v xml:space="preserve">
Task 206 - Preliminary Plat (Not included in proposal)</v>
      </c>
      <c r="B29" s="122">
        <v>206</v>
      </c>
      <c r="C29" s="114" t="str">
        <f ca="1">VLOOKUP($B29,TaskTable!$B:$E,2,FALSE)</f>
        <v>Preliminary Plat</v>
      </c>
      <c r="D29" s="115">
        <f ca="1">VLOOKUP($B29,TaskTable!$B:$E,3,FALSE)</f>
        <v>0</v>
      </c>
      <c r="E29" s="115">
        <f ca="1">VLOOKUP($B29,TaskTable!$B:$E,3,FALSE)</f>
        <v>0</v>
      </c>
    </row>
    <row r="30" spans="1:11" s="23" customFormat="1" ht="71.25" x14ac:dyDescent="0.2">
      <c r="A30" s="79" t="s">
        <v>496</v>
      </c>
      <c r="B30" s="122">
        <v>206</v>
      </c>
      <c r="C30" s="114" t="str">
        <f ca="1">VLOOKUP($B30,TaskTable!$B:$E,2,FALSE)</f>
        <v>Preliminary Plat</v>
      </c>
      <c r="D30" s="115">
        <f ca="1">VLOOKUP($B30,TaskTable!$B:$E,3,FALSE)</f>
        <v>0</v>
      </c>
      <c r="E30" s="115">
        <f ca="1">VLOOKUP($B30,TaskTable!$B:$E,3,FALSE)</f>
        <v>0</v>
      </c>
      <c r="F30" s="24"/>
      <c r="G30" s="24"/>
      <c r="H30" s="24"/>
      <c r="I30" s="24"/>
      <c r="J30" s="24"/>
      <c r="K30" s="24"/>
    </row>
    <row r="31" spans="1:11" s="1" customFormat="1" ht="24" x14ac:dyDescent="0.2">
      <c r="A31" s="98" t="str">
        <f ca="1">CHAR(10)&amp;"Task "&amp;B31&amp;" - "&amp;C31&amp;IF($D31&gt;0,""," (Not included in proposal)")</f>
        <v xml:space="preserve">
Task 207 - Final Plat (Not included in proposal)</v>
      </c>
      <c r="B31" s="122">
        <v>207</v>
      </c>
      <c r="C31" s="114" t="str">
        <f ca="1">VLOOKUP($B31,TaskTable!$B:$E,2,FALSE)</f>
        <v>Final Plat</v>
      </c>
      <c r="D31" s="115">
        <f ca="1">VLOOKUP($B31,TaskTable!$B:$E,3,FALSE)</f>
        <v>0</v>
      </c>
      <c r="E31" s="115">
        <f ca="1">VLOOKUP($B31,TaskTable!$B:$E,3,FALSE)</f>
        <v>0</v>
      </c>
    </row>
    <row r="32" spans="1:11" s="23" customFormat="1" ht="54.75" customHeight="1" x14ac:dyDescent="0.2">
      <c r="A32" s="79" t="s">
        <v>497</v>
      </c>
      <c r="B32" s="122">
        <v>207</v>
      </c>
      <c r="C32" s="114" t="str">
        <f ca="1">VLOOKUP($B32,TaskTable!$B:$E,2,FALSE)</f>
        <v>Final Plat</v>
      </c>
      <c r="D32" s="115">
        <f ca="1">VLOOKUP($B32,TaskTable!$B:$E,3,FALSE)</f>
        <v>0</v>
      </c>
      <c r="E32" s="115">
        <f ca="1">VLOOKUP($B32,TaskTable!$B:$E,3,FALSE)</f>
        <v>0</v>
      </c>
      <c r="F32" s="24"/>
      <c r="G32" s="24"/>
      <c r="H32" s="24"/>
      <c r="I32" s="24"/>
      <c r="J32" s="24"/>
      <c r="K32" s="24"/>
    </row>
    <row r="33" spans="1:11" s="1" customFormat="1" ht="24" x14ac:dyDescent="0.2">
      <c r="A33" s="98" t="str">
        <f ca="1">CHAR(10)&amp;"Task "&amp;B33&amp;" - "&amp;C33&amp;IF($D33&gt;0,""," (Not included in proposal)")</f>
        <v xml:space="preserve">
Task 208 - Replat (Not included in proposal)</v>
      </c>
      <c r="B33" s="122">
        <v>208</v>
      </c>
      <c r="C33" s="114" t="str">
        <f ca="1">VLOOKUP($B33,TaskTable!$B:$E,2,FALSE)</f>
        <v>Replat</v>
      </c>
      <c r="D33" s="115">
        <f ca="1">VLOOKUP($B33,TaskTable!$B:$E,3,FALSE)</f>
        <v>0</v>
      </c>
      <c r="E33" s="115">
        <f ca="1">VLOOKUP($B33,TaskTable!$B:$E,3,FALSE)</f>
        <v>0</v>
      </c>
    </row>
    <row r="34" spans="1:11" s="23" customFormat="1" ht="54.95" customHeight="1" x14ac:dyDescent="0.2">
      <c r="A34" s="79" t="s">
        <v>498</v>
      </c>
      <c r="B34" s="122">
        <v>208</v>
      </c>
      <c r="C34" s="114" t="str">
        <f ca="1">VLOOKUP($B34,TaskTable!$B:$E,2,FALSE)</f>
        <v>Replat</v>
      </c>
      <c r="D34" s="115">
        <f ca="1">VLOOKUP($B34,TaskTable!$B:$E,3,FALSE)</f>
        <v>0</v>
      </c>
      <c r="E34" s="115">
        <f ca="1">VLOOKUP($B34,TaskTable!$B:$E,3,FALSE)</f>
        <v>0</v>
      </c>
      <c r="F34" s="24"/>
      <c r="G34" s="24"/>
      <c r="H34" s="24"/>
      <c r="I34" s="24"/>
      <c r="J34" s="24"/>
      <c r="K34" s="24"/>
    </row>
    <row r="35" spans="1:11" s="1" customFormat="1" ht="24" x14ac:dyDescent="0.2">
      <c r="A35" s="98" t="str">
        <f ca="1">CHAR(10)&amp;"Task "&amp;B35&amp;" - "&amp;C35&amp;IF($D35&gt;0,""," (Not included in proposal)")</f>
        <v xml:space="preserve">
Task 209 - Conveyance Plat (Not included in proposal)</v>
      </c>
      <c r="B35" s="122">
        <v>209</v>
      </c>
      <c r="C35" s="114" t="str">
        <f ca="1">VLOOKUP($B35,TaskTable!$B:$E,2,FALSE)</f>
        <v>Conveyance Plat</v>
      </c>
      <c r="D35" s="115">
        <f ca="1">VLOOKUP($B35,TaskTable!$B:$E,3,FALSE)</f>
        <v>0</v>
      </c>
      <c r="E35" s="115">
        <f ca="1">VLOOKUP($B35,TaskTable!$B:$E,3,FALSE)</f>
        <v>0</v>
      </c>
    </row>
    <row r="36" spans="1:11" s="23" customFormat="1" ht="54" customHeight="1" x14ac:dyDescent="0.2">
      <c r="A36" s="79" t="s">
        <v>499</v>
      </c>
      <c r="B36" s="122">
        <v>209</v>
      </c>
      <c r="C36" s="114" t="str">
        <f ca="1">VLOOKUP($B36,TaskTable!$B:$E,2,FALSE)</f>
        <v>Conveyance Plat</v>
      </c>
      <c r="D36" s="115">
        <f ca="1">VLOOKUP($B36,TaskTable!$B:$E,3,FALSE)</f>
        <v>0</v>
      </c>
      <c r="E36" s="115">
        <f ca="1">VLOOKUP($B36,TaskTable!$B:$E,3,FALSE)</f>
        <v>0</v>
      </c>
      <c r="F36" s="24"/>
      <c r="G36" s="24"/>
      <c r="H36" s="24"/>
      <c r="I36" s="24"/>
      <c r="J36" s="24"/>
      <c r="K36" s="24"/>
    </row>
    <row r="37" spans="1:11" s="1" customFormat="1" ht="24" x14ac:dyDescent="0.2">
      <c r="A37" s="98" t="str">
        <f ca="1">CHAR(10)&amp;"Task "&amp;B37&amp;" - "&amp;C37&amp;IF($D37&gt;0,""," (Not included in proposal)")</f>
        <v xml:space="preserve">
Task 210 - Separate Instrument Easement (Each) (Not included in proposal)</v>
      </c>
      <c r="B37" s="122">
        <v>210</v>
      </c>
      <c r="C37" s="114" t="str">
        <f ca="1">VLOOKUP($B37,TaskTable!$B:$E,2,FALSE)</f>
        <v>Separate Instrument Easement (Each)</v>
      </c>
      <c r="D37" s="115">
        <f ca="1">VLOOKUP($B37,TaskTable!$B:$E,3,FALSE)</f>
        <v>0</v>
      </c>
      <c r="E37" s="115">
        <f ca="1">VLOOKUP($B37,TaskTable!$B:$E,3,FALSE)</f>
        <v>0</v>
      </c>
    </row>
    <row r="38" spans="1:11" s="23" customFormat="1" ht="72" customHeight="1" x14ac:dyDescent="0.2">
      <c r="A38" s="79" t="s">
        <v>500</v>
      </c>
      <c r="B38" s="122">
        <v>210</v>
      </c>
      <c r="C38" s="114" t="str">
        <f ca="1">VLOOKUP($B38,TaskTable!$B:$E,2,FALSE)</f>
        <v>Separate Instrument Easement (Each)</v>
      </c>
      <c r="D38" s="115">
        <f ca="1">VLOOKUP($B38,TaskTable!$B:$E,3,FALSE)</f>
        <v>0</v>
      </c>
      <c r="E38" s="115">
        <f ca="1">VLOOKUP($B38,TaskTable!$B:$E,3,FALSE)</f>
        <v>0</v>
      </c>
      <c r="F38" s="24"/>
      <c r="G38" s="24"/>
      <c r="H38" s="24"/>
      <c r="I38" s="24"/>
      <c r="J38" s="24"/>
      <c r="K38" s="24"/>
    </row>
    <row r="39" spans="1:11" s="1" customFormat="1" ht="24" x14ac:dyDescent="0.2">
      <c r="A39" s="98" t="str">
        <f ca="1">CHAR(10)&amp;"Task "&amp;B39&amp;" - "&amp;C39&amp;IF($D39&gt;0,""," (Not included in proposal)")</f>
        <v xml:space="preserve">
Task 211 - Other (Not included in proposal)</v>
      </c>
      <c r="B39" s="122">
        <v>211</v>
      </c>
      <c r="C39" s="114" t="str">
        <f ca="1">VLOOKUP($B39,TaskTable!$B:$E,2,FALSE)</f>
        <v>Other</v>
      </c>
      <c r="D39" s="115">
        <f ca="1">VLOOKUP($B39,TaskTable!$B:$E,3,FALSE)</f>
        <v>0</v>
      </c>
      <c r="E39" s="115">
        <f ca="1">VLOOKUP($B39,TaskTable!$B:$E,3,FALSE)</f>
        <v>0</v>
      </c>
    </row>
    <row r="40" spans="1:11" s="23" customFormat="1" x14ac:dyDescent="0.2">
      <c r="A40" s="79" t="s">
        <v>132</v>
      </c>
      <c r="B40" s="122">
        <v>211</v>
      </c>
      <c r="C40" s="114" t="str">
        <f ca="1">VLOOKUP($B40,TaskTable!$B:$E,2,FALSE)</f>
        <v>Other</v>
      </c>
      <c r="D40" s="115">
        <f ca="1">VLOOKUP($B40,TaskTable!$B:$E,3,FALSE)</f>
        <v>0</v>
      </c>
      <c r="E40" s="115">
        <f ca="1">VLOOKUP($B40,TaskTable!$B:$E,3,FALSE)</f>
        <v>0</v>
      </c>
      <c r="F40" s="24"/>
      <c r="G40" s="24"/>
      <c r="H40" s="24"/>
      <c r="I40" s="24"/>
      <c r="J40" s="24"/>
      <c r="K40" s="24"/>
    </row>
    <row r="41" spans="1:11" s="1" customFormat="1" ht="24" x14ac:dyDescent="0.2">
      <c r="A41" s="98" t="str">
        <f ca="1">CHAR(10)&amp;"Task "&amp;B41&amp;" - "&amp;C41&amp;IF($D41&gt;0,""," (Not included in proposal)")</f>
        <v xml:space="preserve">
Task 301 - City Concept Plan (Not included in proposal)</v>
      </c>
      <c r="B41" s="122">
        <v>301</v>
      </c>
      <c r="C41" s="114" t="str">
        <f ca="1">VLOOKUP($B41,TaskTable!$B:$E,2,FALSE)</f>
        <v>City Concept Plan</v>
      </c>
      <c r="D41" s="115">
        <f ca="1">VLOOKUP($B41,TaskTable!$B:$E,3,FALSE)</f>
        <v>0</v>
      </c>
      <c r="E41" s="115">
        <f ca="1">VLOOKUP($B41,TaskTable!$B:$E,3,FALSE)</f>
        <v>0</v>
      </c>
    </row>
    <row r="42" spans="1:11" s="23" customFormat="1" ht="39.75" customHeight="1" x14ac:dyDescent="0.2">
      <c r="A42" s="79" t="s">
        <v>246</v>
      </c>
      <c r="B42" s="122">
        <v>301</v>
      </c>
      <c r="C42" s="114" t="str">
        <f ca="1">VLOOKUP($B42,TaskTable!$B:$E,2,FALSE)</f>
        <v>City Concept Plan</v>
      </c>
      <c r="D42" s="115">
        <f ca="1">VLOOKUP($B42,TaskTable!$B:$E,3,FALSE)</f>
        <v>0</v>
      </c>
      <c r="E42" s="115">
        <f ca="1">VLOOKUP($B42,TaskTable!$B:$E,3,FALSE)</f>
        <v>0</v>
      </c>
      <c r="F42" s="24"/>
      <c r="G42" s="24"/>
      <c r="H42" s="24"/>
      <c r="I42" s="24"/>
      <c r="J42" s="24"/>
      <c r="K42" s="24"/>
    </row>
    <row r="43" spans="1:11" s="1" customFormat="1" ht="24" x14ac:dyDescent="0.2">
      <c r="A43" s="98" t="str">
        <f ca="1">CHAR(10)&amp;"Task "&amp;B43&amp;" - "&amp;C43&amp;IF($D43&gt;0,""," (Not included in proposal)")</f>
        <v xml:space="preserve">
Task 302 - City Preliminary Site Plan (Not included in proposal)</v>
      </c>
      <c r="B43" s="122">
        <v>302</v>
      </c>
      <c r="C43" s="114" t="str">
        <f ca="1">VLOOKUP($B43,TaskTable!$B:$E,2,FALSE)</f>
        <v>City Preliminary Site Plan</v>
      </c>
      <c r="D43" s="115">
        <f ca="1">VLOOKUP($B43,TaskTable!$B:$E,3,FALSE)</f>
        <v>0</v>
      </c>
      <c r="E43" s="115">
        <f ca="1">VLOOKUP($B43,TaskTable!$B:$E,3,FALSE)</f>
        <v>0</v>
      </c>
    </row>
    <row r="44" spans="1:11" s="23" customFormat="1" ht="38.25" customHeight="1" x14ac:dyDescent="0.2">
      <c r="A44" s="79" t="s">
        <v>247</v>
      </c>
      <c r="B44" s="122">
        <v>302</v>
      </c>
      <c r="C44" s="114" t="str">
        <f ca="1">VLOOKUP($B44,TaskTable!$B:$E,2,FALSE)</f>
        <v>City Preliminary Site Plan</v>
      </c>
      <c r="D44" s="115">
        <f ca="1">VLOOKUP($B44,TaskTable!$B:$E,3,FALSE)</f>
        <v>0</v>
      </c>
      <c r="E44" s="115">
        <f ca="1">VLOOKUP($B44,TaskTable!$B:$E,3,FALSE)</f>
        <v>0</v>
      </c>
      <c r="F44" s="24"/>
      <c r="G44" s="24"/>
      <c r="H44" s="24"/>
      <c r="I44" s="24"/>
      <c r="J44" s="24"/>
      <c r="K44" s="24"/>
    </row>
    <row r="45" spans="1:11" s="1" customFormat="1" ht="24" x14ac:dyDescent="0.2">
      <c r="A45" s="98" t="str">
        <f ca="1">CHAR(10)&amp;"Task "&amp;B45&amp;" - "&amp;C45&amp;IF($D45&gt;0,""," (Not included in proposal)")</f>
        <v xml:space="preserve">
Task 303 - City Final Site Plan (Not included in proposal)</v>
      </c>
      <c r="B45" s="122">
        <v>303</v>
      </c>
      <c r="C45" s="114" t="str">
        <f ca="1">VLOOKUP($B45,TaskTable!$B:$E,2,FALSE)</f>
        <v>City Final Site Plan</v>
      </c>
      <c r="D45" s="115">
        <f ca="1">VLOOKUP($B45,TaskTable!$B:$E,3,FALSE)</f>
        <v>0</v>
      </c>
      <c r="E45" s="115">
        <f ca="1">VLOOKUP($B45,TaskTable!$B:$E,3,FALSE)</f>
        <v>0</v>
      </c>
    </row>
    <row r="46" spans="1:11" s="23" customFormat="1" ht="39" customHeight="1" x14ac:dyDescent="0.2">
      <c r="A46" s="79" t="s">
        <v>248</v>
      </c>
      <c r="B46" s="122">
        <v>303</v>
      </c>
      <c r="C46" s="114" t="str">
        <f ca="1">VLOOKUP($B46,TaskTable!$B:$E,2,FALSE)</f>
        <v>City Final Site Plan</v>
      </c>
      <c r="D46" s="115">
        <f ca="1">VLOOKUP($B46,TaskTable!$B:$E,3,FALSE)</f>
        <v>0</v>
      </c>
      <c r="E46" s="115">
        <f ca="1">VLOOKUP($B46,TaskTable!$B:$E,3,FALSE)</f>
        <v>0</v>
      </c>
      <c r="F46" s="24"/>
      <c r="G46" s="24"/>
      <c r="H46" s="24"/>
      <c r="I46" s="24"/>
      <c r="J46" s="24"/>
      <c r="K46" s="24"/>
    </row>
    <row r="47" spans="1:11" s="1" customFormat="1" ht="24" x14ac:dyDescent="0.2">
      <c r="A47" s="98" t="str">
        <f ca="1">CHAR(10)&amp;"Task "&amp;B47&amp;" - "&amp;C47&amp;IF($D47&gt;0,""," (Not included in proposal)")</f>
        <v xml:space="preserve">
Task 304 - Zoning Assistance (Not included in proposal)</v>
      </c>
      <c r="B47" s="122">
        <v>304</v>
      </c>
      <c r="C47" s="114" t="str">
        <f ca="1">VLOOKUP($B47,TaskTable!$B:$E,2,FALSE)</f>
        <v>Zoning Assistance</v>
      </c>
      <c r="D47" s="115">
        <f ca="1">VLOOKUP($B47,TaskTable!$B:$E,3,FALSE)</f>
        <v>0</v>
      </c>
      <c r="E47" s="115">
        <f ca="1">VLOOKUP($B47,TaskTable!$B:$E,3,FALSE)</f>
        <v>0</v>
      </c>
    </row>
    <row r="48" spans="1:11" s="23" customFormat="1" ht="62.25" customHeight="1" x14ac:dyDescent="0.2">
      <c r="A48" s="79" t="s">
        <v>133</v>
      </c>
      <c r="B48" s="122">
        <v>304</v>
      </c>
      <c r="C48" s="114" t="str">
        <f ca="1">VLOOKUP($B48,TaskTable!$B:$E,2,FALSE)</f>
        <v>Zoning Assistance</v>
      </c>
      <c r="D48" s="115">
        <f ca="1">VLOOKUP($B48,TaskTable!$B:$E,3,FALSE)</f>
        <v>0</v>
      </c>
      <c r="E48" s="115">
        <f ca="1">VLOOKUP($B48,TaskTable!$B:$E,3,FALSE)</f>
        <v>0</v>
      </c>
      <c r="F48" s="24"/>
      <c r="G48" s="24"/>
      <c r="H48" s="24"/>
      <c r="I48" s="24"/>
      <c r="J48" s="24"/>
      <c r="K48" s="24"/>
    </row>
    <row r="49" spans="1:11" s="1" customFormat="1" ht="24" x14ac:dyDescent="0.2">
      <c r="A49" s="98" t="str">
        <f ca="1">CHAR(10)&amp;"Task "&amp;B49&amp;" - "&amp;C49&amp;IF($D49&gt;0,""," (Not included in proposal)")</f>
        <v xml:space="preserve">
Task 305 - Special Use Permit / Conditional Use Permit / Variance Assistance (Not included in proposal)</v>
      </c>
      <c r="B49" s="122">
        <v>305</v>
      </c>
      <c r="C49" s="114" t="str">
        <f ca="1">VLOOKUP($B49,TaskTable!$B:$E,2,FALSE)</f>
        <v>Special Use Permit / Conditional Use Permit / Variance Assistance</v>
      </c>
      <c r="D49" s="115">
        <f ca="1">VLOOKUP($B49,TaskTable!$B:$E,3,FALSE)</f>
        <v>0</v>
      </c>
      <c r="E49" s="115">
        <f ca="1">VLOOKUP($B49,TaskTable!$B:$E,3,FALSE)</f>
        <v>0</v>
      </c>
    </row>
    <row r="50" spans="1:11" s="23" customFormat="1" ht="60" customHeight="1" x14ac:dyDescent="0.2">
      <c r="A50" s="79" t="s">
        <v>134</v>
      </c>
      <c r="B50" s="122">
        <v>305</v>
      </c>
      <c r="C50" s="114" t="str">
        <f ca="1">VLOOKUP($B50,TaskTable!$B:$E,2,FALSE)</f>
        <v>Special Use Permit / Conditional Use Permit / Variance Assistance</v>
      </c>
      <c r="D50" s="115">
        <f ca="1">VLOOKUP($B50,TaskTable!$B:$E,3,FALSE)</f>
        <v>0</v>
      </c>
      <c r="E50" s="115">
        <f ca="1">VLOOKUP($B50,TaskTable!$B:$E,3,FALSE)</f>
        <v>0</v>
      </c>
      <c r="F50" s="24"/>
      <c r="G50" s="24"/>
      <c r="H50" s="24"/>
      <c r="I50" s="24"/>
      <c r="J50" s="24"/>
      <c r="K50" s="24"/>
    </row>
    <row r="51" spans="1:11" s="1" customFormat="1" ht="24" x14ac:dyDescent="0.2">
      <c r="A51" s="98" t="str">
        <f ca="1">CHAR(10)&amp;"Task "&amp;B51&amp;" - "&amp;C51&amp;IF($D51&gt;0,""," (Not included in proposal)")</f>
        <v xml:space="preserve">
Task 306 - Presentation Graphics and 3D Visualization (Not included in proposal)</v>
      </c>
      <c r="B51" s="122">
        <v>306</v>
      </c>
      <c r="C51" s="114" t="str">
        <f ca="1">VLOOKUP($B51,TaskTable!$B:$E,2,FALSE)</f>
        <v>Presentation Graphics and 3D Visualization</v>
      </c>
      <c r="D51" s="115">
        <f ca="1">VLOOKUP($B51,TaskTable!$B:$E,3,FALSE)</f>
        <v>0</v>
      </c>
      <c r="E51" s="115">
        <f ca="1">VLOOKUP($B51,TaskTable!$B:$E,3,FALSE)</f>
        <v>0</v>
      </c>
    </row>
    <row r="52" spans="1:11" s="23" customFormat="1" ht="61.5" customHeight="1" x14ac:dyDescent="0.2">
      <c r="A52" s="79" t="s">
        <v>249</v>
      </c>
      <c r="B52" s="122">
        <v>306</v>
      </c>
      <c r="C52" s="114" t="str">
        <f ca="1">VLOOKUP($B52,TaskTable!$B:$E,2,FALSE)</f>
        <v>Presentation Graphics and 3D Visualization</v>
      </c>
      <c r="D52" s="115">
        <f ca="1">VLOOKUP($B52,TaskTable!$B:$E,3,FALSE)</f>
        <v>0</v>
      </c>
      <c r="E52" s="115">
        <f ca="1">VLOOKUP($B52,TaskTable!$B:$E,3,FALSE)</f>
        <v>0</v>
      </c>
      <c r="F52" s="24"/>
      <c r="G52" s="24"/>
      <c r="H52" s="24"/>
      <c r="I52" s="24"/>
      <c r="J52" s="24"/>
      <c r="K52" s="24"/>
    </row>
    <row r="53" spans="1:11" s="1" customFormat="1" ht="24" x14ac:dyDescent="0.2">
      <c r="A53" s="98" t="str">
        <f ca="1">CHAR(10)&amp;"Task "&amp;B53&amp;" - "&amp;C53&amp;IF($D53&gt;0,""," (Not included in proposal)")</f>
        <v xml:space="preserve">
Task 307 - Presentations / Project Meetings (Not included in proposal)</v>
      </c>
      <c r="B53" s="122">
        <v>307</v>
      </c>
      <c r="C53" s="114" t="str">
        <f ca="1">VLOOKUP($B53,TaskTable!$B:$E,2,FALSE)</f>
        <v>Presentations / Project Meetings</v>
      </c>
      <c r="D53" s="115">
        <f ca="1">VLOOKUP($B53,TaskTable!$B:$E,3,FALSE)</f>
        <v>0</v>
      </c>
      <c r="E53" s="115">
        <f ca="1">VLOOKUP($B53,TaskTable!$B:$E,3,FALSE)</f>
        <v>0</v>
      </c>
    </row>
    <row r="54" spans="1:11" s="23" customFormat="1" ht="36" x14ac:dyDescent="0.2">
      <c r="A54" s="79" t="s">
        <v>566</v>
      </c>
      <c r="B54" s="122">
        <v>307</v>
      </c>
      <c r="C54" s="114" t="str">
        <f ca="1">VLOOKUP($B54,TaskTable!$B:$E,2,FALSE)</f>
        <v>Presentations / Project Meetings</v>
      </c>
      <c r="D54" s="115">
        <f ca="1">VLOOKUP($B54,TaskTable!$B:$E,3,FALSE)</f>
        <v>0</v>
      </c>
      <c r="E54" s="115">
        <f ca="1">VLOOKUP($B54,TaskTable!$B:$E,3,FALSE)</f>
        <v>0</v>
      </c>
      <c r="F54" s="24"/>
      <c r="G54" s="24"/>
      <c r="H54" s="24"/>
      <c r="I54" s="24"/>
      <c r="J54" s="24"/>
      <c r="K54" s="24"/>
    </row>
    <row r="55" spans="1:11" s="1" customFormat="1" ht="24" x14ac:dyDescent="0.2">
      <c r="A55" s="98" t="str">
        <f ca="1">CHAR(10)&amp;"Task "&amp;B55&amp;" - "&amp;C55&amp;IF($D55&gt;0,""," (Not included in proposal)")</f>
        <v xml:space="preserve">
Task 308 - Submittals and Permitting (Not included in proposal)</v>
      </c>
      <c r="B55" s="122">
        <v>308</v>
      </c>
      <c r="C55" s="114" t="str">
        <f ca="1">VLOOKUP($B55,TaskTable!$B:$E,2,FALSE)</f>
        <v>Submittals and Permitting</v>
      </c>
      <c r="D55" s="115">
        <f ca="1">VLOOKUP($B55,TaskTable!$B:$E,3,FALSE)</f>
        <v>0</v>
      </c>
      <c r="E55" s="115">
        <f ca="1">VLOOKUP($B55,TaskTable!$B:$E,3,FALSE)</f>
        <v>0</v>
      </c>
    </row>
    <row r="56" spans="1:11" s="23" customFormat="1" ht="49.5" customHeight="1" x14ac:dyDescent="0.2">
      <c r="A56" s="79" t="s">
        <v>250</v>
      </c>
      <c r="B56" s="122">
        <v>308</v>
      </c>
      <c r="C56" s="114" t="str">
        <f ca="1">VLOOKUP($B56,TaskTable!$B:$E,2,FALSE)</f>
        <v>Submittals and Permitting</v>
      </c>
      <c r="D56" s="115">
        <f ca="1">VLOOKUP($B56,TaskTable!$B:$E,3,FALSE)</f>
        <v>0</v>
      </c>
      <c r="E56" s="115">
        <f ca="1">VLOOKUP($B56,TaskTable!$B:$E,3,FALSE)</f>
        <v>0</v>
      </c>
      <c r="F56" s="24"/>
      <c r="G56" s="24"/>
      <c r="H56" s="24"/>
      <c r="I56" s="24"/>
      <c r="J56" s="24"/>
      <c r="K56" s="24"/>
    </row>
    <row r="57" spans="1:11" s="1" customFormat="1" ht="24" x14ac:dyDescent="0.2">
      <c r="A57" s="98" t="str">
        <f ca="1">CHAR(10)&amp;"Task "&amp;B57&amp;" - "&amp;C57&amp;IF($D57&gt;0,""," (Not included in proposal)")</f>
        <v xml:space="preserve">
Task 309 - Other (Not included in proposal)</v>
      </c>
      <c r="B57" s="122">
        <v>309</v>
      </c>
      <c r="C57" s="114" t="str">
        <f ca="1">VLOOKUP($B57,TaskTable!$B:$E,2,FALSE)</f>
        <v>Other</v>
      </c>
      <c r="D57" s="115">
        <f ca="1">VLOOKUP($B57,TaskTable!$B:$E,3,FALSE)</f>
        <v>0</v>
      </c>
      <c r="E57" s="115">
        <f ca="1">VLOOKUP($B57,TaskTable!$B:$E,3,FALSE)</f>
        <v>0</v>
      </c>
    </row>
    <row r="58" spans="1:11" s="23" customFormat="1" x14ac:dyDescent="0.2">
      <c r="A58" s="79" t="s">
        <v>132</v>
      </c>
      <c r="B58" s="122">
        <v>309</v>
      </c>
      <c r="C58" s="114" t="str">
        <f ca="1">VLOOKUP($B58,TaskTable!$B:$E,2,FALSE)</f>
        <v>Other</v>
      </c>
      <c r="D58" s="115">
        <f ca="1">VLOOKUP($B58,TaskTable!$B:$E,3,FALSE)</f>
        <v>0</v>
      </c>
      <c r="E58" s="115">
        <f ca="1">VLOOKUP($B58,TaskTable!$B:$E,3,FALSE)</f>
        <v>0</v>
      </c>
      <c r="F58" s="24"/>
      <c r="G58" s="24"/>
      <c r="H58" s="24"/>
      <c r="I58" s="24"/>
      <c r="J58" s="24"/>
      <c r="K58" s="24"/>
    </row>
    <row r="59" spans="1:11" s="1" customFormat="1" ht="24" x14ac:dyDescent="0.2">
      <c r="A59" s="98" t="str">
        <f ca="1">CHAR(10)&amp;"Task "&amp;B59&amp;" - "&amp;C59&amp;IF($D59&gt;0,""," (Not included in proposal)")</f>
        <v xml:space="preserve">
Task 401 - Site Plan Reconciliation (Not included in proposal)</v>
      </c>
      <c r="B59" s="122">
        <v>401</v>
      </c>
      <c r="C59" s="114" t="str">
        <f ca="1">VLOOKUP($B59,TaskTable!$B:$E,2,FALSE)</f>
        <v>Site Plan Reconciliation</v>
      </c>
      <c r="D59" s="115">
        <f ca="1">VLOOKUP($B59,TaskTable!$B:$E,3,FALSE)</f>
        <v>0</v>
      </c>
      <c r="E59" s="115">
        <f ca="1">VLOOKUP($B59,TaskTable!$B:$E,3,FALSE)</f>
        <v>0</v>
      </c>
    </row>
    <row r="60" spans="1:11" s="23" customFormat="1" ht="48" customHeight="1" x14ac:dyDescent="0.2">
      <c r="A60" s="79" t="s">
        <v>297</v>
      </c>
      <c r="B60" s="122">
        <v>401</v>
      </c>
      <c r="C60" s="114" t="str">
        <f ca="1">VLOOKUP($B60,TaskTable!$B:$E,2,FALSE)</f>
        <v>Site Plan Reconciliation</v>
      </c>
      <c r="D60" s="115">
        <f ca="1">VLOOKUP($B60,TaskTable!$B:$E,3,FALSE)</f>
        <v>0</v>
      </c>
      <c r="E60" s="115">
        <f ca="1">VLOOKUP($B60,TaskTable!$B:$E,3,FALSE)</f>
        <v>0</v>
      </c>
      <c r="F60" s="24"/>
      <c r="G60" s="24"/>
      <c r="H60" s="24"/>
      <c r="I60" s="24"/>
      <c r="J60" s="24"/>
      <c r="K60" s="24"/>
    </row>
    <row r="61" spans="1:11" s="1" customFormat="1" ht="24" x14ac:dyDescent="0.2">
      <c r="A61" s="98" t="str">
        <f ca="1">CHAR(10)&amp;"Task "&amp;B61&amp;" - "&amp;C61&amp;IF($D61&gt;0,""," (Not included in proposal)")</f>
        <v xml:space="preserve">
Task 402 - Mass Grading Plan (Not included in proposal)</v>
      </c>
      <c r="B61" s="122">
        <v>402</v>
      </c>
      <c r="C61" s="114" t="str">
        <f ca="1">VLOOKUP($B61,TaskTable!$B:$E,2,FALSE)</f>
        <v>Mass Grading Plan</v>
      </c>
      <c r="D61" s="115">
        <f ca="1">VLOOKUP($B61,TaskTable!$B:$E,3,FALSE)</f>
        <v>0</v>
      </c>
      <c r="E61" s="115">
        <f ca="1">VLOOKUP($B61,TaskTable!$B:$E,3,FALSE)</f>
        <v>0</v>
      </c>
    </row>
    <row r="62" spans="1:11" s="23" customFormat="1" ht="48" x14ac:dyDescent="0.2">
      <c r="A62" s="79" t="s">
        <v>196</v>
      </c>
      <c r="B62" s="122">
        <v>402</v>
      </c>
      <c r="C62" s="114" t="str">
        <f ca="1">VLOOKUP($B62,TaskTable!$B:$E,2,FALSE)</f>
        <v>Mass Grading Plan</v>
      </c>
      <c r="D62" s="115">
        <f ca="1">VLOOKUP($B62,TaskTable!$B:$E,3,FALSE)</f>
        <v>0</v>
      </c>
      <c r="E62" s="115">
        <f ca="1">VLOOKUP($B62,TaskTable!$B:$E,3,FALSE)</f>
        <v>0</v>
      </c>
      <c r="F62" s="24"/>
      <c r="G62" s="24"/>
      <c r="H62" s="24"/>
      <c r="I62" s="24"/>
      <c r="J62" s="24"/>
      <c r="K62" s="24"/>
    </row>
    <row r="63" spans="1:11" s="1" customFormat="1" ht="24" x14ac:dyDescent="0.2">
      <c r="A63" s="98" t="str">
        <f ca="1">CHAR(10)&amp;"Task "&amp;B63&amp;" - "&amp;C63&amp;IF($D63&gt;0,""," (Not included in proposal)")</f>
        <v xml:space="preserve">
Task 403 - Preliminary On-Site Civil Engineering (Not included in proposal)</v>
      </c>
      <c r="B63" s="122">
        <v>403</v>
      </c>
      <c r="C63" s="114" t="str">
        <f ca="1">VLOOKUP($B63,TaskTable!$B:$E,2,FALSE)</f>
        <v>Preliminary On-Site Civil Engineering</v>
      </c>
      <c r="D63" s="115">
        <f ca="1">VLOOKUP($B63,TaskTable!$B:$E,3,FALSE)</f>
        <v>0</v>
      </c>
      <c r="E63" s="115">
        <f ca="1">VLOOKUP($B63,TaskTable!$B:$E,3,FALSE)</f>
        <v>0</v>
      </c>
    </row>
    <row r="64" spans="1:11" s="23" customFormat="1" ht="111" customHeight="1" x14ac:dyDescent="0.2">
      <c r="A64" s="79" t="s">
        <v>272</v>
      </c>
      <c r="B64" s="122">
        <v>403</v>
      </c>
      <c r="C64" s="114" t="str">
        <f ca="1">VLOOKUP($B64,TaskTable!$B:$E,2,FALSE)</f>
        <v>Preliminary On-Site Civil Engineering</v>
      </c>
      <c r="D64" s="115">
        <f ca="1">VLOOKUP($B64,TaskTable!$B:$E,3,FALSE)</f>
        <v>0</v>
      </c>
      <c r="E64" s="115">
        <f ca="1">VLOOKUP($B64,TaskTable!$B:$E,3,FALSE)</f>
        <v>0</v>
      </c>
      <c r="F64" s="24"/>
      <c r="G64" s="24"/>
      <c r="H64" s="24"/>
      <c r="I64" s="24"/>
      <c r="J64" s="24"/>
      <c r="K64" s="24"/>
    </row>
    <row r="65" spans="1:11" s="1" customFormat="1" ht="24" x14ac:dyDescent="0.2">
      <c r="A65" s="98" t="str">
        <f ca="1">CHAR(10)&amp;"Task "&amp;B65&amp;" - "&amp;C65&amp;IF($D65&gt;0,""," (Not included in proposal)")</f>
        <v xml:space="preserve">
Task 404 - Final On-Site Civil Engineering (Not included in proposal)</v>
      </c>
      <c r="B65" s="122">
        <v>404</v>
      </c>
      <c r="C65" s="114" t="str">
        <f ca="1">VLOOKUP($B65,TaskTable!$B:$E,2,FALSE)</f>
        <v>Final On-Site Civil Engineering</v>
      </c>
      <c r="D65" s="115">
        <f ca="1">VLOOKUP($B65,TaskTable!$B:$E,3,FALSE)</f>
        <v>0</v>
      </c>
      <c r="E65" s="115">
        <f ca="1">VLOOKUP($B65,TaskTable!$B:$E,3,FALSE)</f>
        <v>0</v>
      </c>
    </row>
    <row r="66" spans="1:11" s="23" customFormat="1" x14ac:dyDescent="0.2">
      <c r="A66" s="79" t="s">
        <v>239</v>
      </c>
      <c r="B66" s="122">
        <v>404</v>
      </c>
      <c r="C66" s="114" t="str">
        <f ca="1">VLOOKUP($B66,TaskTable!$B:$E,2,FALSE)</f>
        <v>Final On-Site Civil Engineering</v>
      </c>
      <c r="D66" s="115">
        <f ca="1">VLOOKUP($B66,TaskTable!$B:$E,3,FALSE)</f>
        <v>0</v>
      </c>
      <c r="E66" s="115">
        <f ca="1">VLOOKUP($B66,TaskTable!$B:$E,3,FALSE)</f>
        <v>0</v>
      </c>
      <c r="F66" s="24"/>
      <c r="G66" s="24"/>
      <c r="H66" s="24"/>
      <c r="I66" s="24"/>
      <c r="J66" s="24"/>
      <c r="K66" s="24"/>
    </row>
    <row r="67" spans="1:11" s="23" customFormat="1" ht="12" customHeight="1" x14ac:dyDescent="0.2">
      <c r="A67" s="79" t="s">
        <v>251</v>
      </c>
      <c r="B67" s="122">
        <v>404</v>
      </c>
      <c r="C67" s="114" t="str">
        <f ca="1">VLOOKUP($B67,TaskTable!$B:$E,2,FALSE)</f>
        <v>Final On-Site Civil Engineering</v>
      </c>
      <c r="D67" s="115">
        <f ca="1">VLOOKUP($B67,TaskTable!$B:$E,3,FALSE)</f>
        <v>0</v>
      </c>
      <c r="E67" s="115">
        <f ca="1">VLOOKUP($B67,TaskTable!$B:$E,3,FALSE)</f>
        <v>0</v>
      </c>
      <c r="F67" s="24"/>
      <c r="G67" s="24"/>
      <c r="H67" s="24"/>
      <c r="I67" s="24"/>
      <c r="J67" s="24"/>
      <c r="K67" s="24"/>
    </row>
    <row r="68" spans="1:11" s="23" customFormat="1" ht="24" x14ac:dyDescent="0.2">
      <c r="A68" s="79" t="s">
        <v>253</v>
      </c>
      <c r="B68" s="122">
        <v>404</v>
      </c>
      <c r="C68" s="114" t="str">
        <f ca="1">VLOOKUP($B68,TaskTable!$B:$E,2,FALSE)</f>
        <v>Final On-Site Civil Engineering</v>
      </c>
      <c r="D68" s="115">
        <f ca="1">VLOOKUP($B68,TaskTable!$B:$E,3,FALSE)</f>
        <v>0</v>
      </c>
      <c r="E68" s="115">
        <f ca="1">VLOOKUP($B68,TaskTable!$B:$E,3,FALSE)</f>
        <v>0</v>
      </c>
      <c r="F68" s="24"/>
      <c r="G68" s="24"/>
      <c r="H68" s="24"/>
      <c r="I68" s="24"/>
      <c r="J68" s="24"/>
      <c r="K68" s="24"/>
    </row>
    <row r="69" spans="1:11" s="23" customFormat="1" ht="24" x14ac:dyDescent="0.2">
      <c r="A69" s="79" t="s">
        <v>252</v>
      </c>
      <c r="B69" s="122">
        <v>404</v>
      </c>
      <c r="C69" s="114" t="str">
        <f ca="1">VLOOKUP($B69,TaskTable!$B:$E,2,FALSE)</f>
        <v>Final On-Site Civil Engineering</v>
      </c>
      <c r="D69" s="115">
        <f ca="1">VLOOKUP($B69,TaskTable!$B:$E,3,FALSE)</f>
        <v>0</v>
      </c>
      <c r="E69" s="115">
        <f ca="1">VLOOKUP($B69,TaskTable!$B:$E,3,FALSE)</f>
        <v>0</v>
      </c>
      <c r="F69" s="24"/>
      <c r="G69" s="24"/>
      <c r="H69" s="24"/>
      <c r="I69" s="24"/>
      <c r="J69" s="24"/>
      <c r="K69" s="24"/>
    </row>
    <row r="70" spans="1:11" s="23" customFormat="1" ht="74.25" customHeight="1" x14ac:dyDescent="0.2">
      <c r="A70" s="79" t="s">
        <v>338</v>
      </c>
      <c r="B70" s="122">
        <v>404</v>
      </c>
      <c r="C70" s="114" t="str">
        <f ca="1">VLOOKUP($B70,TaskTable!$B:$E,2,FALSE)</f>
        <v>Final On-Site Civil Engineering</v>
      </c>
      <c r="D70" s="115">
        <f ca="1">VLOOKUP($B70,TaskTable!$B:$E,3,FALSE)</f>
        <v>0</v>
      </c>
      <c r="E70" s="115">
        <f ca="1">VLOOKUP($B70,TaskTable!$B:$E,3,FALSE)</f>
        <v>0</v>
      </c>
      <c r="F70" s="24"/>
      <c r="G70" s="24"/>
      <c r="H70" s="24"/>
      <c r="I70" s="24"/>
      <c r="J70" s="24"/>
      <c r="K70" s="24"/>
    </row>
    <row r="71" spans="1:11" s="23" customFormat="1" ht="24" customHeight="1" x14ac:dyDescent="0.2">
      <c r="A71" s="79" t="s">
        <v>255</v>
      </c>
      <c r="B71" s="122">
        <v>404</v>
      </c>
      <c r="C71" s="114" t="str">
        <f ca="1">VLOOKUP($B71,TaskTable!$B:$E,2,FALSE)</f>
        <v>Final On-Site Civil Engineering</v>
      </c>
      <c r="D71" s="115">
        <f ca="1">VLOOKUP($B71,TaskTable!$B:$E,3,FALSE)</f>
        <v>0</v>
      </c>
      <c r="E71" s="115">
        <f ca="1">VLOOKUP($B71,TaskTable!$B:$E,3,FALSE)</f>
        <v>0</v>
      </c>
      <c r="F71" s="24"/>
      <c r="G71" s="24"/>
      <c r="H71" s="24"/>
      <c r="I71" s="24"/>
      <c r="J71" s="24"/>
      <c r="K71" s="24"/>
    </row>
    <row r="72" spans="1:11" s="23" customFormat="1" x14ac:dyDescent="0.2">
      <c r="A72" s="79" t="s">
        <v>256</v>
      </c>
      <c r="B72" s="122">
        <v>404</v>
      </c>
      <c r="C72" s="114" t="str">
        <f ca="1">VLOOKUP($B72,TaskTable!$B:$E,2,FALSE)</f>
        <v>Final On-Site Civil Engineering</v>
      </c>
      <c r="D72" s="115">
        <f ca="1">VLOOKUP($B72,TaskTable!$B:$E,3,FALSE)</f>
        <v>0</v>
      </c>
      <c r="E72" s="115">
        <f ca="1">VLOOKUP($B72,TaskTable!$B:$E,3,FALSE)</f>
        <v>0</v>
      </c>
      <c r="F72" s="24"/>
      <c r="G72" s="24"/>
      <c r="H72" s="24"/>
      <c r="I72" s="24"/>
      <c r="J72" s="24"/>
      <c r="K72" s="24"/>
    </row>
    <row r="73" spans="1:11" s="23" customFormat="1" ht="48" x14ac:dyDescent="0.2">
      <c r="A73" s="79" t="s">
        <v>257</v>
      </c>
      <c r="B73" s="122">
        <v>404</v>
      </c>
      <c r="C73" s="114" t="str">
        <f ca="1">VLOOKUP($B73,TaskTable!$B:$E,2,FALSE)</f>
        <v>Final On-Site Civil Engineering</v>
      </c>
      <c r="D73" s="115">
        <f ca="1">VLOOKUP($B73,TaskTable!$B:$E,3,FALSE)</f>
        <v>0</v>
      </c>
      <c r="E73" s="115">
        <f ca="1">VLOOKUP($B73,TaskTable!$B:$E,3,FALSE)</f>
        <v>0</v>
      </c>
      <c r="F73" s="24"/>
      <c r="G73" s="24"/>
      <c r="H73" s="24"/>
      <c r="I73" s="24"/>
      <c r="J73" s="24"/>
      <c r="K73" s="24"/>
    </row>
    <row r="74" spans="1:11" s="23" customFormat="1" ht="62.25" customHeight="1" x14ac:dyDescent="0.2">
      <c r="A74" s="79" t="s">
        <v>254</v>
      </c>
      <c r="B74" s="122">
        <v>404</v>
      </c>
      <c r="C74" s="114" t="str">
        <f ca="1">VLOOKUP($B74,TaskTable!$B:$E,2,FALSE)</f>
        <v>Final On-Site Civil Engineering</v>
      </c>
      <c r="D74" s="115">
        <f ca="1">VLOOKUP($B74,TaskTable!$B:$E,3,FALSE)</f>
        <v>0</v>
      </c>
      <c r="E74" s="115">
        <f ca="1">VLOOKUP($B74,TaskTable!$B:$E,3,FALSE)</f>
        <v>0</v>
      </c>
      <c r="F74" s="24"/>
      <c r="G74" s="24"/>
      <c r="H74" s="24"/>
      <c r="I74" s="24"/>
      <c r="J74" s="24"/>
      <c r="K74" s="24"/>
    </row>
    <row r="75" spans="1:11" s="23" customFormat="1" ht="48" x14ac:dyDescent="0.2">
      <c r="A75" s="79" t="s">
        <v>273</v>
      </c>
      <c r="B75" s="122">
        <v>404</v>
      </c>
      <c r="C75" s="114" t="str">
        <f ca="1">VLOOKUP($B75,TaskTable!$B:$E,2,FALSE)</f>
        <v>Final On-Site Civil Engineering</v>
      </c>
      <c r="D75" s="115">
        <f ca="1">VLOOKUP($B75,TaskTable!$B:$E,3,FALSE)</f>
        <v>0</v>
      </c>
      <c r="E75" s="115">
        <f ca="1">VLOOKUP($B75,TaskTable!$B:$E,3,FALSE)</f>
        <v>0</v>
      </c>
      <c r="F75" s="24"/>
      <c r="G75" s="24"/>
      <c r="H75" s="24"/>
      <c r="I75" s="24"/>
      <c r="J75" s="24"/>
      <c r="K75" s="24"/>
    </row>
    <row r="76" spans="1:11" s="23" customFormat="1" ht="36" x14ac:dyDescent="0.2">
      <c r="A76" s="79" t="s">
        <v>298</v>
      </c>
      <c r="B76" s="122">
        <v>404</v>
      </c>
      <c r="C76" s="114" t="str">
        <f ca="1">VLOOKUP($B76,TaskTable!$B:$E,2,FALSE)</f>
        <v>Final On-Site Civil Engineering</v>
      </c>
      <c r="D76" s="115">
        <f ca="1">VLOOKUP($B76,TaskTable!$B:$E,3,FALSE)</f>
        <v>0</v>
      </c>
      <c r="E76" s="115">
        <f ca="1">VLOOKUP($B76,TaskTable!$B:$E,3,FALSE)</f>
        <v>0</v>
      </c>
      <c r="F76" s="24"/>
      <c r="G76" s="24"/>
      <c r="H76" s="24"/>
      <c r="I76" s="24"/>
      <c r="J76" s="24"/>
      <c r="K76" s="24"/>
    </row>
    <row r="77" spans="1:11" ht="24" x14ac:dyDescent="0.2">
      <c r="A77" s="98" t="str">
        <f ca="1">CHAR(10)&amp;"Task "&amp;B77&amp;" - "&amp;C77&amp;IF($D77&gt;0,""," (Not included in proposal)")</f>
        <v xml:space="preserve">
Task 405 - Storm Water Detention Facility Plan (Not included in proposal)</v>
      </c>
      <c r="B77" s="122">
        <v>405</v>
      </c>
      <c r="C77" s="114" t="str">
        <f ca="1">VLOOKUP($B77,TaskTable!$B:$E,2,FALSE)</f>
        <v>Storm Water Detention Facility Plan</v>
      </c>
      <c r="D77" s="115">
        <f ca="1">VLOOKUP($B77,TaskTable!$B:$E,3,FALSE)</f>
        <v>0</v>
      </c>
      <c r="E77" s="115">
        <f ca="1">VLOOKUP($B77,TaskTable!$B:$E,3,FALSE)</f>
        <v>0</v>
      </c>
      <c r="F77" s="24"/>
    </row>
    <row r="78" spans="1:11" s="23" customFormat="1" ht="61.5" customHeight="1" x14ac:dyDescent="0.2">
      <c r="A78" s="79" t="s">
        <v>267</v>
      </c>
      <c r="B78" s="122">
        <v>405</v>
      </c>
      <c r="C78" s="114" t="str">
        <f ca="1">VLOOKUP($B78,TaskTable!$B:$E,2,FALSE)</f>
        <v>Storm Water Detention Facility Plan</v>
      </c>
      <c r="D78" s="115">
        <f ca="1">VLOOKUP($B78,TaskTable!$B:$E,3,FALSE)</f>
        <v>0</v>
      </c>
      <c r="E78" s="115">
        <f ca="1">VLOOKUP($B78,TaskTable!$B:$E,3,FALSE)</f>
        <v>0</v>
      </c>
      <c r="F78" s="24"/>
      <c r="G78" s="24"/>
      <c r="H78" s="24"/>
      <c r="I78" s="24"/>
      <c r="J78" s="24"/>
      <c r="K78" s="24"/>
    </row>
    <row r="79" spans="1:11" s="1" customFormat="1" ht="24" x14ac:dyDescent="0.2">
      <c r="A79" s="98" t="str">
        <f ca="1">CHAR(10)&amp;"Task "&amp;B79&amp;" - "&amp;C79&amp;IF($D79&gt;0,""," (Not included in proposal)")</f>
        <v xml:space="preserve">
Task 406 - Storm Water Pollution Prevention Plan (SWPPP) (Not included in proposal)</v>
      </c>
      <c r="B79" s="122">
        <v>406</v>
      </c>
      <c r="C79" s="114" t="str">
        <f ca="1">VLOOKUP($B79,TaskTable!$B:$E,2,FALSE)</f>
        <v>Storm Water Pollution Prevention Plan (SWPPP)</v>
      </c>
      <c r="D79" s="115">
        <f ca="1">VLOOKUP($B79,TaskTable!$B:$E,3,FALSE)</f>
        <v>0</v>
      </c>
      <c r="E79" s="115">
        <f ca="1">VLOOKUP($B79,TaskTable!$B:$E,3,FALSE)</f>
        <v>0</v>
      </c>
    </row>
    <row r="80" spans="1:11" s="23" customFormat="1" ht="60.75" customHeight="1" x14ac:dyDescent="0.2">
      <c r="A80" s="79" t="s">
        <v>258</v>
      </c>
      <c r="B80" s="122">
        <v>406</v>
      </c>
      <c r="C80" s="114" t="str">
        <f ca="1">VLOOKUP($B80,TaskTable!$B:$E,2,FALSE)</f>
        <v>Storm Water Pollution Prevention Plan (SWPPP)</v>
      </c>
      <c r="D80" s="115">
        <f ca="1">VLOOKUP($B80,TaskTable!$B:$E,3,FALSE)</f>
        <v>0</v>
      </c>
      <c r="E80" s="115">
        <f ca="1">VLOOKUP($B80,TaskTable!$B:$E,3,FALSE)</f>
        <v>0</v>
      </c>
      <c r="F80" s="24"/>
      <c r="G80" s="24"/>
      <c r="H80" s="24"/>
      <c r="I80" s="24"/>
      <c r="J80" s="24"/>
      <c r="K80" s="24"/>
    </row>
    <row r="81" spans="1:11" s="1" customFormat="1" ht="24" x14ac:dyDescent="0.2">
      <c r="A81" s="98" t="str">
        <f ca="1">CHAR(10)&amp;"Task "&amp;B81&amp;" - "&amp;C81&amp;IF($D81&gt;0,""," (Not included in proposal)")</f>
        <v xml:space="preserve">
Task 407 - Submittals and Permitting (Not included in proposal)</v>
      </c>
      <c r="B81" s="122">
        <v>407</v>
      </c>
      <c r="C81" s="114" t="str">
        <f ca="1">VLOOKUP($B81,TaskTable!$B:$E,2,FALSE)</f>
        <v>Submittals and Permitting</v>
      </c>
      <c r="D81" s="115">
        <f ca="1">VLOOKUP($B81,TaskTable!$B:$E,3,FALSE)</f>
        <v>0</v>
      </c>
      <c r="E81" s="115">
        <f ca="1">VLOOKUP($B81,TaskTable!$B:$E,3,FALSE)</f>
        <v>0</v>
      </c>
    </row>
    <row r="82" spans="1:11" s="23" customFormat="1" ht="50.25" customHeight="1" x14ac:dyDescent="0.2">
      <c r="A82" s="79" t="s">
        <v>250</v>
      </c>
      <c r="B82" s="122">
        <v>407</v>
      </c>
      <c r="C82" s="114" t="str">
        <f ca="1">VLOOKUP($B82,TaskTable!$B:$E,2,FALSE)</f>
        <v>Submittals and Permitting</v>
      </c>
      <c r="D82" s="115">
        <f ca="1">VLOOKUP($B82,TaskTable!$B:$E,3,FALSE)</f>
        <v>0</v>
      </c>
      <c r="E82" s="115">
        <f ca="1">VLOOKUP($B82,TaskTable!$B:$E,3,FALSE)</f>
        <v>0</v>
      </c>
      <c r="F82" s="24"/>
      <c r="G82" s="24"/>
      <c r="H82" s="24"/>
      <c r="I82" s="24"/>
      <c r="J82" s="24"/>
      <c r="K82" s="24"/>
    </row>
    <row r="83" spans="1:11" s="1" customFormat="1" ht="24" x14ac:dyDescent="0.2">
      <c r="A83" s="98" t="str">
        <f ca="1">CHAR(10)&amp;"Task "&amp;B83&amp;" - "&amp;C83&amp;IF($D83&gt;0,""," (Not included in proposal)")</f>
        <v xml:space="preserve">
Task 408 - Meetings and Team Coordination (Not included in proposal)</v>
      </c>
      <c r="B83" s="122">
        <v>408</v>
      </c>
      <c r="C83" s="114" t="str">
        <f ca="1">VLOOKUP($B83,TaskTable!$B:$E,2,FALSE)</f>
        <v>Meetings and Team Coordination</v>
      </c>
      <c r="D83" s="115">
        <f ca="1">VLOOKUP($B83,TaskTable!$B:$E,3,FALSE)</f>
        <v>0</v>
      </c>
      <c r="E83" s="115">
        <f ca="1">VLOOKUP($B83,TaskTable!$B:$E,3,FALSE)</f>
        <v>0</v>
      </c>
    </row>
    <row r="84" spans="1:11" s="23" customFormat="1" ht="36" x14ac:dyDescent="0.2">
      <c r="A84" s="79" t="s">
        <v>566</v>
      </c>
      <c r="B84" s="122">
        <v>408</v>
      </c>
      <c r="C84" s="114" t="str">
        <f ca="1">VLOOKUP($B84,TaskTable!$B:$E,2,FALSE)</f>
        <v>Meetings and Team Coordination</v>
      </c>
      <c r="D84" s="115">
        <f ca="1">VLOOKUP($B84,TaskTable!$B:$E,3,FALSE)</f>
        <v>0</v>
      </c>
      <c r="E84" s="115">
        <f ca="1">VLOOKUP($B84,TaskTable!$B:$E,3,FALSE)</f>
        <v>0</v>
      </c>
      <c r="F84" s="24"/>
      <c r="G84" s="24"/>
      <c r="H84" s="24"/>
      <c r="I84" s="24"/>
      <c r="J84" s="24"/>
      <c r="K84" s="24"/>
    </row>
    <row r="85" spans="1:11" s="1" customFormat="1" ht="24" x14ac:dyDescent="0.2">
      <c r="A85" s="98" t="str">
        <f ca="1">CHAR(10)&amp;"Task "&amp;B85&amp;" - "&amp;C85&amp;IF($D85&gt;0,""," (Not included in proposal)")</f>
        <v xml:space="preserve">
Task 409 - On-Call Services (Not included in proposal)</v>
      </c>
      <c r="B85" s="122">
        <v>409</v>
      </c>
      <c r="C85" s="114" t="str">
        <f ca="1">VLOOKUP($B85,TaskTable!$B:$E,2,FALSE)</f>
        <v>On-Call Services</v>
      </c>
      <c r="D85" s="115">
        <f ca="1">VLOOKUP($B85,TaskTable!$B:$E,3,FALSE)</f>
        <v>0</v>
      </c>
      <c r="E85" s="115">
        <f ca="1">VLOOKUP($B85,TaskTable!$B:$E,3,FALSE)</f>
        <v>0</v>
      </c>
    </row>
    <row r="86" spans="1:11" s="23" customFormat="1" ht="36" x14ac:dyDescent="0.2">
      <c r="A86" s="79" t="s">
        <v>135</v>
      </c>
      <c r="B86" s="122">
        <v>409</v>
      </c>
      <c r="C86" s="114" t="str">
        <f ca="1">VLOOKUP($B86,TaskTable!$B:$E,2,FALSE)</f>
        <v>On-Call Services</v>
      </c>
      <c r="D86" s="115">
        <f ca="1">VLOOKUP($B86,TaskTable!$B:$E,3,FALSE)</f>
        <v>0</v>
      </c>
      <c r="E86" s="115">
        <f ca="1">VLOOKUP($B86,TaskTable!$B:$E,3,FALSE)</f>
        <v>0</v>
      </c>
      <c r="F86" s="24"/>
      <c r="G86" s="24"/>
      <c r="H86" s="24"/>
      <c r="I86" s="24"/>
      <c r="J86" s="24"/>
      <c r="K86" s="24"/>
    </row>
    <row r="87" spans="1:11" s="1" customFormat="1" ht="24" x14ac:dyDescent="0.2">
      <c r="A87" s="98" t="str">
        <f ca="1">CHAR(10)&amp;"Task "&amp;B87&amp;" - "&amp;C87&amp;IF($D87&gt;0,""," (Not included in proposal)")</f>
        <v xml:space="preserve">
Task 410 - Other (Not included in proposal)</v>
      </c>
      <c r="B87" s="122">
        <v>410</v>
      </c>
      <c r="C87" s="114" t="str">
        <f ca="1">VLOOKUP($B87,TaskTable!$B:$E,2,FALSE)</f>
        <v>Other</v>
      </c>
      <c r="D87" s="115">
        <f ca="1">VLOOKUP($B87,TaskTable!$B:$E,3,FALSE)</f>
        <v>0</v>
      </c>
      <c r="E87" s="115">
        <f ca="1">VLOOKUP($B87,TaskTable!$B:$E,3,FALSE)</f>
        <v>0</v>
      </c>
    </row>
    <row r="88" spans="1:11" s="23" customFormat="1" x14ac:dyDescent="0.2">
      <c r="A88" s="79" t="s">
        <v>132</v>
      </c>
      <c r="B88" s="122">
        <v>410</v>
      </c>
      <c r="C88" s="114" t="str">
        <f ca="1">VLOOKUP($B88,TaskTable!$B:$E,2,FALSE)</f>
        <v>Other</v>
      </c>
      <c r="D88" s="115">
        <f ca="1">VLOOKUP($B88,TaskTable!$B:$E,3,FALSE)</f>
        <v>0</v>
      </c>
      <c r="E88" s="115">
        <f ca="1">VLOOKUP($B88,TaskTable!$B:$E,3,FALSE)</f>
        <v>0</v>
      </c>
      <c r="F88" s="24"/>
      <c r="G88" s="24"/>
      <c r="H88" s="24"/>
      <c r="I88" s="24"/>
      <c r="J88" s="24"/>
      <c r="K88" s="24"/>
    </row>
    <row r="89" spans="1:11" s="1" customFormat="1" ht="24" x14ac:dyDescent="0.2">
      <c r="A89" s="98" t="str">
        <f ca="1">CHAR(10)&amp;"Task "&amp;B89&amp;" - "&amp;C89&amp;IF($D89&gt;0,""," (Not included in proposal)")</f>
        <v xml:space="preserve">
Task 501 - Traffic Impact Analysis (TIA) (Not included in proposal)</v>
      </c>
      <c r="B89" s="122">
        <v>501</v>
      </c>
      <c r="C89" s="114" t="str">
        <f ca="1">VLOOKUP($B89,TaskTable!$B:$E,2,FALSE)</f>
        <v>Traffic Impact Analysis (TIA)</v>
      </c>
      <c r="D89" s="115">
        <f ca="1">VLOOKUP($B89,TaskTable!$B:$E,3,FALSE)</f>
        <v>0</v>
      </c>
      <c r="E89" s="115">
        <f ca="1">VLOOKUP($B89,TaskTable!$B:$E,3,FALSE)</f>
        <v>0</v>
      </c>
    </row>
    <row r="90" spans="1:11" s="23" customFormat="1" ht="122.25" customHeight="1" x14ac:dyDescent="0.2">
      <c r="A90" s="79" t="s">
        <v>259</v>
      </c>
      <c r="B90" s="122">
        <v>501</v>
      </c>
      <c r="C90" s="114" t="str">
        <f ca="1">VLOOKUP($B90,TaskTable!$B:$E,2,FALSE)</f>
        <v>Traffic Impact Analysis (TIA)</v>
      </c>
      <c r="D90" s="115">
        <f ca="1">VLOOKUP($B90,TaskTable!$B:$E,3,FALSE)</f>
        <v>0</v>
      </c>
      <c r="E90" s="115">
        <f ca="1">VLOOKUP($B90,TaskTable!$B:$E,3,FALSE)</f>
        <v>0</v>
      </c>
      <c r="F90" s="24"/>
      <c r="G90" s="24"/>
      <c r="H90" s="24"/>
      <c r="I90" s="24"/>
      <c r="J90" s="24"/>
      <c r="K90" s="24"/>
    </row>
    <row r="91" spans="1:11" s="23" customFormat="1" ht="24" x14ac:dyDescent="0.2">
      <c r="A91" s="98" t="str">
        <f ca="1">CHAR(10)&amp;"Task "&amp;B91&amp;" - "&amp;C91&amp;IF($D91&gt;0,""," (Not included in proposal)")</f>
        <v xml:space="preserve">
Task 502 - Parking Analysis (Not included in proposal)</v>
      </c>
      <c r="B91" s="122">
        <v>502</v>
      </c>
      <c r="C91" s="114" t="str">
        <f ca="1">VLOOKUP($B91,TaskTable!$B:$E,2,FALSE)</f>
        <v>Parking Analysis</v>
      </c>
      <c r="D91" s="115">
        <f ca="1">VLOOKUP($B91,TaskTable!$B:$E,3,FALSE)</f>
        <v>0</v>
      </c>
      <c r="E91" s="115">
        <f ca="1">VLOOKUP($B91,TaskTable!$B:$E,3,FALSE)</f>
        <v>0</v>
      </c>
      <c r="F91" s="24"/>
      <c r="G91" s="24"/>
      <c r="H91" s="24"/>
      <c r="I91" s="24"/>
      <c r="J91" s="24"/>
      <c r="K91" s="24"/>
    </row>
    <row r="92" spans="1:11" s="23" customFormat="1" ht="96.75" customHeight="1" x14ac:dyDescent="0.2">
      <c r="A92" s="79" t="s">
        <v>460</v>
      </c>
      <c r="B92" s="122">
        <v>502</v>
      </c>
      <c r="C92" s="114" t="str">
        <f ca="1">VLOOKUP($B92,TaskTable!$B:$E,2,FALSE)</f>
        <v>Parking Analysis</v>
      </c>
      <c r="D92" s="115">
        <f ca="1">VLOOKUP($B92,TaskTable!$B:$E,3,FALSE)</f>
        <v>0</v>
      </c>
      <c r="E92" s="115">
        <f ca="1">VLOOKUP($B92,TaskTable!$B:$E,3,FALSE)</f>
        <v>0</v>
      </c>
      <c r="F92" s="24"/>
      <c r="G92" s="24"/>
      <c r="H92" s="24"/>
      <c r="I92" s="24"/>
      <c r="J92" s="24"/>
      <c r="K92" s="24"/>
    </row>
    <row r="93" spans="1:11" s="1" customFormat="1" ht="24" x14ac:dyDescent="0.2">
      <c r="A93" s="98" t="str">
        <f ca="1">CHAR(10)&amp;"Task "&amp;B93&amp;" - "&amp;C93&amp;IF($D93&gt;0,""," (Not included in proposal)")</f>
        <v xml:space="preserve">
Task 503 - Traffic Signal Design (Not included in proposal)</v>
      </c>
      <c r="B93" s="122">
        <v>503</v>
      </c>
      <c r="C93" s="114" t="str">
        <f ca="1">VLOOKUP($B93,TaskTable!$B:$E,2,FALSE)</f>
        <v>Traffic Signal Design</v>
      </c>
      <c r="D93" s="115">
        <f ca="1">VLOOKUP($B93,TaskTable!$B:$E,3,FALSE)</f>
        <v>0</v>
      </c>
      <c r="E93" s="115">
        <f ca="1">VLOOKUP($B93,TaskTable!$B:$E,3,FALSE)</f>
        <v>0</v>
      </c>
    </row>
    <row r="94" spans="1:11" s="23" customFormat="1" ht="73.5" customHeight="1" x14ac:dyDescent="0.2">
      <c r="A94" s="79" t="s">
        <v>260</v>
      </c>
      <c r="B94" s="122">
        <v>503</v>
      </c>
      <c r="C94" s="114" t="str">
        <f ca="1">VLOOKUP($B94,TaskTable!$B:$E,2,FALSE)</f>
        <v>Traffic Signal Design</v>
      </c>
      <c r="D94" s="115">
        <f ca="1">VLOOKUP($B94,TaskTable!$B:$E,3,FALSE)</f>
        <v>0</v>
      </c>
      <c r="E94" s="115">
        <f ca="1">VLOOKUP($B94,TaskTable!$B:$E,3,FALSE)</f>
        <v>0</v>
      </c>
      <c r="F94" s="24"/>
      <c r="G94" s="24"/>
      <c r="H94" s="24"/>
      <c r="I94" s="24"/>
      <c r="J94" s="24"/>
      <c r="K94" s="24"/>
    </row>
    <row r="95" spans="1:11" s="1" customFormat="1" ht="24" x14ac:dyDescent="0.2">
      <c r="A95" s="98" t="str">
        <f ca="1">CHAR(10)&amp;"Task "&amp;B95&amp;" - "&amp;C95&amp;IF($D95&gt;0,""," (Not included in proposal)")</f>
        <v xml:space="preserve">
Task 504 - Turn Lane Design / Median Opening (Not included in proposal)</v>
      </c>
      <c r="B95" s="122">
        <v>504</v>
      </c>
      <c r="C95" s="114" t="str">
        <f ca="1">VLOOKUP($B95,TaskTable!$B:$E,2,FALSE)</f>
        <v>Turn Lane Design / Median Opening</v>
      </c>
      <c r="D95" s="115">
        <f ca="1">VLOOKUP($B95,TaskTable!$B:$E,3,FALSE)</f>
        <v>0</v>
      </c>
      <c r="E95" s="115">
        <f ca="1">VLOOKUP($B95,TaskTable!$B:$E,3,FALSE)</f>
        <v>0</v>
      </c>
    </row>
    <row r="96" spans="1:11" s="23" customFormat="1" ht="24" x14ac:dyDescent="0.2">
      <c r="A96" s="79" t="s">
        <v>136</v>
      </c>
      <c r="B96" s="122">
        <v>504</v>
      </c>
      <c r="C96" s="114" t="str">
        <f ca="1">VLOOKUP($B96,TaskTable!$B:$E,2,FALSE)</f>
        <v>Turn Lane Design / Median Opening</v>
      </c>
      <c r="D96" s="115">
        <f ca="1">VLOOKUP($B96,TaskTable!$B:$E,3,FALSE)</f>
        <v>0</v>
      </c>
      <c r="E96" s="115">
        <f ca="1">VLOOKUP($B96,TaskTable!$B:$E,3,FALSE)</f>
        <v>0</v>
      </c>
      <c r="F96" s="24"/>
      <c r="G96" s="24"/>
      <c r="H96" s="24"/>
      <c r="I96" s="24"/>
      <c r="J96" s="24"/>
      <c r="K96" s="24"/>
    </row>
    <row r="97" spans="1:11" s="1" customFormat="1" ht="24" x14ac:dyDescent="0.2">
      <c r="A97" s="98" t="str">
        <f ca="1">CHAR(10)&amp;"Task "&amp;B97&amp;" - "&amp;C97&amp;IF($D97&gt;0,""," (Not included in proposal)")</f>
        <v xml:space="preserve">
Task 505 - DOT Driveway Permit (Not included in proposal)</v>
      </c>
      <c r="B97" s="122">
        <v>505</v>
      </c>
      <c r="C97" s="114" t="str">
        <f ca="1">VLOOKUP($B97,TaskTable!$B:$E,2,FALSE)</f>
        <v>DOT Driveway Permit</v>
      </c>
      <c r="D97" s="115">
        <f ca="1">VLOOKUP($B97,TaskTable!$B:$E,3,FALSE)</f>
        <v>0</v>
      </c>
      <c r="E97" s="115">
        <f ca="1">VLOOKUP($B97,TaskTable!$B:$E,3,FALSE)</f>
        <v>0</v>
      </c>
    </row>
    <row r="98" spans="1:11" s="23" customFormat="1" ht="72" customHeight="1" x14ac:dyDescent="0.2">
      <c r="A98" s="79" t="s">
        <v>261</v>
      </c>
      <c r="B98" s="122">
        <v>505</v>
      </c>
      <c r="C98" s="114" t="str">
        <f ca="1">VLOOKUP($B98,TaskTable!$B:$E,2,FALSE)</f>
        <v>DOT Driveway Permit</v>
      </c>
      <c r="D98" s="115">
        <f ca="1">VLOOKUP($B98,TaskTable!$B:$E,3,FALSE)</f>
        <v>0</v>
      </c>
      <c r="E98" s="115">
        <f ca="1">VLOOKUP($B98,TaskTable!$B:$E,3,FALSE)</f>
        <v>0</v>
      </c>
      <c r="F98" s="24"/>
      <c r="G98" s="24"/>
      <c r="H98" s="24"/>
      <c r="I98" s="24"/>
      <c r="J98" s="24"/>
      <c r="K98" s="24"/>
    </row>
    <row r="99" spans="1:11" s="1" customFormat="1" ht="24" x14ac:dyDescent="0.2">
      <c r="A99" s="98" t="str">
        <f ca="1">CHAR(10)&amp;"Task "&amp;B99&amp;" - "&amp;C99&amp;IF($D99&gt;0,""," (Not included in proposal)")</f>
        <v xml:space="preserve">
Task 506 - Traffic Control Plan (Not included in proposal)</v>
      </c>
      <c r="B99" s="122">
        <v>506</v>
      </c>
      <c r="C99" s="114" t="str">
        <f ca="1">VLOOKUP($B99,TaskTable!$B:$E,2,FALSE)</f>
        <v>Traffic Control Plan</v>
      </c>
      <c r="D99" s="115">
        <f ca="1">VLOOKUP($B99,TaskTable!$B:$E,3,FALSE)</f>
        <v>0</v>
      </c>
      <c r="E99" s="115">
        <f ca="1">VLOOKUP($B99,TaskTable!$B:$E,3,FALSE)</f>
        <v>0</v>
      </c>
    </row>
    <row r="100" spans="1:11" s="23" customFormat="1" ht="84.75" customHeight="1" x14ac:dyDescent="0.2">
      <c r="A100" s="79" t="s">
        <v>262</v>
      </c>
      <c r="B100" s="122">
        <v>506</v>
      </c>
      <c r="C100" s="114" t="str">
        <f ca="1">VLOOKUP($B100,TaskTable!$B:$E,2,FALSE)</f>
        <v>Traffic Control Plan</v>
      </c>
      <c r="D100" s="115">
        <f ca="1">VLOOKUP($B100,TaskTable!$B:$E,3,FALSE)</f>
        <v>0</v>
      </c>
      <c r="E100" s="115">
        <f ca="1">VLOOKUP($B100,TaskTable!$B:$E,3,FALSE)</f>
        <v>0</v>
      </c>
      <c r="F100" s="24"/>
      <c r="G100" s="24"/>
      <c r="H100" s="24"/>
      <c r="I100" s="24"/>
      <c r="J100" s="24"/>
      <c r="K100" s="24"/>
    </row>
    <row r="101" spans="1:11" s="1" customFormat="1" ht="24" x14ac:dyDescent="0.2">
      <c r="A101" s="98" t="str">
        <f ca="1">CHAR(10)&amp;"Task "&amp;B101&amp;" - "&amp;C101&amp;IF($D101&gt;0,""," (Not included in proposal)")</f>
        <v xml:space="preserve">
Task 507 - Signal Warrant Analysis (Not included in proposal)</v>
      </c>
      <c r="B101" s="122">
        <v>507</v>
      </c>
      <c r="C101" s="114" t="str">
        <f ca="1">VLOOKUP($B101,TaskTable!$B:$E,2,FALSE)</f>
        <v>Signal Warrant Analysis</v>
      </c>
      <c r="D101" s="115">
        <f ca="1">VLOOKUP($B101,TaskTable!$B:$E,3,FALSE)</f>
        <v>0</v>
      </c>
      <c r="E101" s="115">
        <f ca="1">VLOOKUP($B101,TaskTable!$B:$E,3,FALSE)</f>
        <v>0</v>
      </c>
    </row>
    <row r="102" spans="1:11" ht="60" x14ac:dyDescent="0.2">
      <c r="A102" s="79" t="s">
        <v>198</v>
      </c>
      <c r="B102" s="122">
        <v>507</v>
      </c>
      <c r="C102" s="114" t="str">
        <f ca="1">VLOOKUP($B102,TaskTable!$B:$E,2,FALSE)</f>
        <v>Signal Warrant Analysis</v>
      </c>
      <c r="D102" s="115">
        <f ca="1">VLOOKUP($B102,TaskTable!$B:$E,3,FALSE)</f>
        <v>0</v>
      </c>
      <c r="E102" s="115">
        <f ca="1">VLOOKUP($B102,TaskTable!$B:$E,3,FALSE)</f>
        <v>0</v>
      </c>
      <c r="F102" s="24"/>
    </row>
    <row r="103" spans="1:11" ht="24" x14ac:dyDescent="0.2">
      <c r="A103" s="98" t="str">
        <f ca="1">CHAR(10)&amp;"Task "&amp;B103&amp;" - "&amp;C103&amp;IF($D103&gt;0,""," (Not included in proposal)")</f>
        <v xml:space="preserve">
Task 508 - Fire Flow Hydrant Test (Not included in proposal)</v>
      </c>
      <c r="B103" s="122">
        <v>508</v>
      </c>
      <c r="C103" s="114" t="str">
        <f ca="1">VLOOKUP($B103,TaskTable!$B:$E,2,FALSE)</f>
        <v>Fire Flow Hydrant Test</v>
      </c>
      <c r="D103" s="115">
        <f ca="1">VLOOKUP($B103,TaskTable!$B:$E,3,FALSE)</f>
        <v>0</v>
      </c>
      <c r="E103" s="115">
        <f ca="1">VLOOKUP($B103,TaskTable!$B:$E,3,FALSE)</f>
        <v>0</v>
      </c>
      <c r="F103" s="24"/>
    </row>
    <row r="104" spans="1:11" ht="99" customHeight="1" x14ac:dyDescent="0.2">
      <c r="A104" s="79" t="s">
        <v>463</v>
      </c>
      <c r="B104" s="122">
        <v>508</v>
      </c>
      <c r="C104" s="114" t="str">
        <f ca="1">VLOOKUP($B104,TaskTable!$B:$E,2,FALSE)</f>
        <v>Fire Flow Hydrant Test</v>
      </c>
      <c r="D104" s="115">
        <f ca="1">VLOOKUP($B104,TaskTable!$B:$E,3,FALSE)</f>
        <v>0</v>
      </c>
      <c r="E104" s="115">
        <f ca="1">VLOOKUP($B104,TaskTable!$B:$E,3,FALSE)</f>
        <v>0</v>
      </c>
      <c r="F104" s="24"/>
    </row>
    <row r="105" spans="1:11" s="1" customFormat="1" ht="24" x14ac:dyDescent="0.2">
      <c r="A105" s="98" t="str">
        <f ca="1">CHAR(10)&amp;"Task "&amp;B105&amp;" - "&amp;C105&amp;IF($D105&gt;0,""," (Not included in proposal)")</f>
        <v xml:space="preserve">
Task 509 - Water Capacity Analysis (Not included in proposal)</v>
      </c>
      <c r="B105" s="122">
        <v>509</v>
      </c>
      <c r="C105" s="114" t="str">
        <f ca="1">VLOOKUP($B105,TaskTable!$B:$E,2,FALSE)</f>
        <v>Water Capacity Analysis</v>
      </c>
      <c r="D105" s="115">
        <f ca="1">VLOOKUP($B105,TaskTable!$B:$E,3,FALSE)</f>
        <v>0</v>
      </c>
      <c r="E105" s="115">
        <f ca="1">VLOOKUP($B105,TaskTable!$B:$E,3,FALSE)</f>
        <v>0</v>
      </c>
    </row>
    <row r="106" spans="1:11" ht="102" customHeight="1" x14ac:dyDescent="0.2">
      <c r="A106" s="79" t="s">
        <v>472</v>
      </c>
      <c r="B106" s="122">
        <v>509</v>
      </c>
      <c r="C106" s="114" t="str">
        <f ca="1">VLOOKUP($B106,TaskTable!$B:$E,2,FALSE)</f>
        <v>Water Capacity Analysis</v>
      </c>
      <c r="D106" s="115">
        <f ca="1">VLOOKUP($B106,TaskTable!$B:$E,3,FALSE)</f>
        <v>0</v>
      </c>
      <c r="E106" s="115">
        <f ca="1">VLOOKUP($B106,TaskTable!$B:$E,3,FALSE)</f>
        <v>0</v>
      </c>
      <c r="F106" s="24"/>
    </row>
    <row r="107" spans="1:11" s="1" customFormat="1" ht="24" x14ac:dyDescent="0.2">
      <c r="A107" s="98" t="str">
        <f ca="1">CHAR(10)&amp;"Task "&amp;B107&amp;" - "&amp;C107&amp;IF($D107&gt;0,""," (Not included in proposal)")</f>
        <v xml:space="preserve">
Task 510 - Sewer Capacity Analysis (Not included in proposal)</v>
      </c>
      <c r="B107" s="122">
        <v>510</v>
      </c>
      <c r="C107" s="114" t="str">
        <f ca="1">VLOOKUP($B107,TaskTable!$B:$E,2,FALSE)</f>
        <v>Sewer Capacity Analysis</v>
      </c>
      <c r="D107" s="115">
        <f ca="1">VLOOKUP($B107,TaskTable!$B:$E,3,FALSE)</f>
        <v>0</v>
      </c>
      <c r="E107" s="115">
        <f ca="1">VLOOKUP($B107,TaskTable!$B:$E,3,FALSE)</f>
        <v>0</v>
      </c>
    </row>
    <row r="108" spans="1:11" ht="86.25" customHeight="1" x14ac:dyDescent="0.2">
      <c r="A108" s="79" t="s">
        <v>471</v>
      </c>
      <c r="B108" s="122">
        <v>510</v>
      </c>
      <c r="C108" s="114" t="str">
        <f ca="1">VLOOKUP($B108,TaskTable!$B:$E,2,FALSE)</f>
        <v>Sewer Capacity Analysis</v>
      </c>
      <c r="D108" s="115">
        <f ca="1">VLOOKUP($B108,TaskTable!$B:$E,3,FALSE)</f>
        <v>0</v>
      </c>
      <c r="E108" s="115">
        <f ca="1">VLOOKUP($B108,TaskTable!$B:$E,3,FALSE)</f>
        <v>0</v>
      </c>
      <c r="F108" s="24"/>
    </row>
    <row r="109" spans="1:11" s="1" customFormat="1" ht="24" x14ac:dyDescent="0.2">
      <c r="A109" s="98" t="str">
        <f ca="1">CHAR(10)&amp;"Task "&amp;B109&amp;" - "&amp;C109&amp;IF($D109&gt;0,""," (Not included in proposal)")</f>
        <v xml:space="preserve">
Task 511 - Offsite Water Design (Not included in proposal)</v>
      </c>
      <c r="B109" s="122">
        <v>511</v>
      </c>
      <c r="C109" s="114" t="str">
        <f ca="1">VLOOKUP($B109,TaskTable!$B:$E,2,FALSE)</f>
        <v>Offsite Water Design</v>
      </c>
      <c r="D109" s="115">
        <f ca="1">VLOOKUP($B109,TaskTable!$B:$E,3,FALSE)</f>
        <v>0</v>
      </c>
      <c r="E109" s="115">
        <f ca="1">VLOOKUP($B109,TaskTable!$B:$E,3,FALSE)</f>
        <v>0</v>
      </c>
    </row>
    <row r="110" spans="1:11" ht="151.5" customHeight="1" x14ac:dyDescent="0.2">
      <c r="A110" s="79" t="s">
        <v>473</v>
      </c>
      <c r="B110" s="122">
        <v>511</v>
      </c>
      <c r="C110" s="114" t="str">
        <f ca="1">VLOOKUP($B110,TaskTable!$B:$E,2,FALSE)</f>
        <v>Offsite Water Design</v>
      </c>
      <c r="D110" s="115">
        <f ca="1">VLOOKUP($B110,TaskTable!$B:$E,3,FALSE)</f>
        <v>0</v>
      </c>
      <c r="E110" s="115">
        <f ca="1">VLOOKUP($B110,TaskTable!$B:$E,3,FALSE)</f>
        <v>0</v>
      </c>
      <c r="F110" s="24"/>
    </row>
    <row r="111" spans="1:11" s="1" customFormat="1" ht="24" x14ac:dyDescent="0.2">
      <c r="A111" s="98" t="str">
        <f ca="1">CHAR(10)&amp;"Task "&amp;B111&amp;" - "&amp;C111&amp;IF($D111&gt;0,""," (Not included in proposal)")</f>
        <v xml:space="preserve">
Task 512 - Offsite Wastewater Design (Not included in proposal)</v>
      </c>
      <c r="B111" s="122">
        <v>512</v>
      </c>
      <c r="C111" s="114" t="str">
        <f ca="1">VLOOKUP($B111,TaskTable!$B:$E,2,FALSE)</f>
        <v>Offsite Wastewater Design</v>
      </c>
      <c r="D111" s="115">
        <f ca="1">VLOOKUP($B111,TaskTable!$B:$E,3,FALSE)</f>
        <v>0</v>
      </c>
      <c r="E111" s="115">
        <f ca="1">VLOOKUP($B111,TaskTable!$B:$E,3,FALSE)</f>
        <v>0</v>
      </c>
    </row>
    <row r="112" spans="1:11" ht="146.25" customHeight="1" x14ac:dyDescent="0.2">
      <c r="A112" s="79" t="s">
        <v>474</v>
      </c>
      <c r="B112" s="122">
        <v>512</v>
      </c>
      <c r="C112" s="114" t="str">
        <f ca="1">VLOOKUP($B112,TaskTable!$B:$E,2,FALSE)</f>
        <v>Offsite Wastewater Design</v>
      </c>
      <c r="D112" s="115">
        <f ca="1">VLOOKUP($B112,TaskTable!$B:$E,3,FALSE)</f>
        <v>0</v>
      </c>
      <c r="E112" s="115">
        <f ca="1">VLOOKUP($B112,TaskTable!$B:$E,3,FALSE)</f>
        <v>0</v>
      </c>
      <c r="F112" s="24"/>
    </row>
    <row r="113" spans="1:6" ht="24" x14ac:dyDescent="0.2">
      <c r="A113" s="98" t="str">
        <f ca="1">CHAR(10)&amp;"Task "&amp;B113&amp;" - "&amp;C113&amp;IF($D113&gt;0,""," (Not included in proposal)")</f>
        <v xml:space="preserve">
Task 513 - Domestic Water Meter Sizing (Not included in proposal)</v>
      </c>
      <c r="B113" s="122">
        <v>513</v>
      </c>
      <c r="C113" s="114" t="str">
        <f ca="1">VLOOKUP($B113,TaskTable!$B:$E,2,FALSE)</f>
        <v>Domestic Water Meter Sizing</v>
      </c>
      <c r="D113" s="115">
        <f ca="1">VLOOKUP($B113,TaskTable!$B:$E,3,FALSE)</f>
        <v>0</v>
      </c>
      <c r="E113" s="115">
        <f ca="1">VLOOKUP($B113,TaskTable!$B:$E,3,FALSE)</f>
        <v>0</v>
      </c>
      <c r="F113" s="24"/>
    </row>
    <row r="114" spans="1:6" ht="72" x14ac:dyDescent="0.2">
      <c r="A114" s="79" t="s">
        <v>462</v>
      </c>
      <c r="B114" s="122">
        <v>513</v>
      </c>
      <c r="C114" s="114" t="str">
        <f ca="1">VLOOKUP($B114,TaskTable!$B:$E,2,FALSE)</f>
        <v>Domestic Water Meter Sizing</v>
      </c>
      <c r="D114" s="115">
        <f ca="1">VLOOKUP($B114,TaskTable!$B:$E,3,FALSE)</f>
        <v>0</v>
      </c>
      <c r="E114" s="115">
        <f ca="1">VLOOKUP($B114,TaskTable!$B:$E,3,FALSE)</f>
        <v>0</v>
      </c>
      <c r="F114" s="24"/>
    </row>
    <row r="115" spans="1:6" s="1" customFormat="1" ht="24" x14ac:dyDescent="0.2">
      <c r="A115" s="98" t="str">
        <f ca="1">CHAR(10)&amp;"Task "&amp;B115&amp;" - "&amp;C115&amp;IF($D115&gt;0,""," (Not included in proposal)")</f>
        <v xml:space="preserve">
Task 514 - Storm Drainage Analysis / Downstream Assessment (Not included in proposal)</v>
      </c>
      <c r="B115" s="122">
        <v>514</v>
      </c>
      <c r="C115" s="114" t="str">
        <f ca="1">VLOOKUP($B115,TaskTable!$B:$E,2,FALSE)</f>
        <v>Storm Drainage Analysis / Downstream Assessment</v>
      </c>
      <c r="D115" s="115">
        <f ca="1">VLOOKUP($B115,TaskTable!$B:$E,3,FALSE)</f>
        <v>0</v>
      </c>
      <c r="E115" s="115">
        <f ca="1">VLOOKUP($B115,TaskTable!$B:$E,3,FALSE)</f>
        <v>0</v>
      </c>
    </row>
    <row r="116" spans="1:6" ht="86.25" customHeight="1" x14ac:dyDescent="0.2">
      <c r="A116" s="79" t="s">
        <v>475</v>
      </c>
      <c r="B116" s="122">
        <v>514</v>
      </c>
      <c r="C116" s="114" t="str">
        <f ca="1">VLOOKUP($B116,TaskTable!$B:$E,2,FALSE)</f>
        <v>Storm Drainage Analysis / Downstream Assessment</v>
      </c>
      <c r="D116" s="115">
        <f ca="1">VLOOKUP($B116,TaskTable!$B:$E,3,FALSE)</f>
        <v>0</v>
      </c>
      <c r="E116" s="115">
        <f ca="1">VLOOKUP($B116,TaskTable!$B:$E,3,FALSE)</f>
        <v>0</v>
      </c>
      <c r="F116" s="24"/>
    </row>
    <row r="117" spans="1:6" s="1" customFormat="1" ht="24" x14ac:dyDescent="0.2">
      <c r="A117" s="98" t="str">
        <f ca="1">CHAR(10)&amp;"Task "&amp;B117&amp;" - "&amp;C117&amp;IF($D117&gt;0,""," (Not included in proposal)")</f>
        <v xml:space="preserve">
Task 515 - Flood Study (Not included in proposal)</v>
      </c>
      <c r="B117" s="122">
        <v>515</v>
      </c>
      <c r="C117" s="114" t="str">
        <f ca="1">VLOOKUP($B117,TaskTable!$B:$E,2,FALSE)</f>
        <v>Flood Study</v>
      </c>
      <c r="D117" s="115">
        <f ca="1">VLOOKUP($B117,TaskTable!$B:$E,3,FALSE)</f>
        <v>0</v>
      </c>
      <c r="E117" s="115">
        <f ca="1">VLOOKUP($B117,TaskTable!$B:$E,3,FALSE)</f>
        <v>0</v>
      </c>
    </row>
    <row r="118" spans="1:6" ht="180.75" customHeight="1" x14ac:dyDescent="0.2">
      <c r="A118" s="79" t="s">
        <v>476</v>
      </c>
      <c r="B118" s="122">
        <v>515</v>
      </c>
      <c r="C118" s="114" t="str">
        <f ca="1">VLOOKUP($B118,TaskTable!$B:$E,2,FALSE)</f>
        <v>Flood Study</v>
      </c>
      <c r="D118" s="115">
        <f ca="1">VLOOKUP($B118,TaskTable!$B:$E,3,FALSE)</f>
        <v>0</v>
      </c>
      <c r="E118" s="115">
        <f ca="1">VLOOKUP($B118,TaskTable!$B:$E,3,FALSE)</f>
        <v>0</v>
      </c>
      <c r="F118" s="24"/>
    </row>
    <row r="119" spans="1:6" ht="24" x14ac:dyDescent="0.2">
      <c r="A119" s="98" t="str">
        <f ca="1">CHAR(10)&amp;"Task "&amp;B119&amp;" - "&amp;C119&amp;IF($D119&gt;0,""," (Not included in proposal)")</f>
        <v xml:space="preserve">
Task 516 - CLOMR (Not included in proposal)</v>
      </c>
      <c r="B119" s="122">
        <v>516</v>
      </c>
      <c r="C119" s="114" t="str">
        <f ca="1">VLOOKUP($B119,TaskTable!$B:$E,2,FALSE)</f>
        <v>CLOMR</v>
      </c>
      <c r="D119" s="115">
        <f ca="1">VLOOKUP($B119,TaskTable!$B:$E,3,FALSE)</f>
        <v>0</v>
      </c>
      <c r="E119" s="115">
        <f ca="1">VLOOKUP($B119,TaskTable!$B:$E,3,FALSE)</f>
        <v>0</v>
      </c>
      <c r="F119" s="24"/>
    </row>
    <row r="120" spans="1:6" x14ac:dyDescent="0.2">
      <c r="A120" s="79" t="s">
        <v>464</v>
      </c>
      <c r="B120" s="122">
        <v>516</v>
      </c>
      <c r="C120" s="114" t="str">
        <f ca="1">VLOOKUP($B120,TaskTable!$B:$E,2,FALSE)</f>
        <v>CLOMR</v>
      </c>
      <c r="D120" s="115">
        <f ca="1">VLOOKUP($B120,TaskTable!$B:$E,3,FALSE)</f>
        <v>0</v>
      </c>
      <c r="E120" s="115">
        <f ca="1">VLOOKUP($B120,TaskTable!$B:$E,3,FALSE)</f>
        <v>0</v>
      </c>
      <c r="F120" s="24"/>
    </row>
    <row r="121" spans="1:6" ht="24" x14ac:dyDescent="0.2">
      <c r="A121" s="98" t="str">
        <f ca="1">CHAR(10)&amp;"Task "&amp;B121&amp;" - "&amp;C121&amp;IF($D121&gt;0,""," (Not included in proposal)")</f>
        <v xml:space="preserve">
Task 517 - LOMR (Not included in proposal)</v>
      </c>
      <c r="B121" s="122">
        <v>517</v>
      </c>
      <c r="C121" s="114" t="str">
        <f ca="1">VLOOKUP($B121,TaskTable!$B:$E,2,FALSE)</f>
        <v>LOMR</v>
      </c>
      <c r="D121" s="115">
        <f ca="1">VLOOKUP($B121,TaskTable!$B:$E,3,FALSE)</f>
        <v>0</v>
      </c>
      <c r="E121" s="115">
        <f ca="1">VLOOKUP($B121,TaskTable!$B:$E,3,FALSE)</f>
        <v>0</v>
      </c>
      <c r="F121" s="24"/>
    </row>
    <row r="122" spans="1:6" ht="15" x14ac:dyDescent="0.2">
      <c r="A122" s="202" t="s">
        <v>464</v>
      </c>
      <c r="B122" s="122">
        <v>517</v>
      </c>
      <c r="C122" s="114" t="str">
        <f ca="1">VLOOKUP($B122,TaskTable!$B:$E,2,FALSE)</f>
        <v>LOMR</v>
      </c>
      <c r="D122" s="115">
        <f ca="1">VLOOKUP($B122,TaskTable!$B:$E,3,FALSE)</f>
        <v>0</v>
      </c>
      <c r="E122" s="115">
        <f ca="1">VLOOKUP($B122,TaskTable!$B:$E,3,FALSE)</f>
        <v>0</v>
      </c>
      <c r="F122" s="24"/>
    </row>
    <row r="123" spans="1:6" ht="24" x14ac:dyDescent="0.2">
      <c r="A123" s="98" t="str">
        <f ca="1">CHAR(10)&amp;"Task "&amp;B123&amp;" - "&amp;C123&amp;IF($D123&gt;0,""," (Not included in proposal)")</f>
        <v xml:space="preserve">
Task 518 - LOMR Topographic Survey (Not included in proposal)</v>
      </c>
      <c r="B123" s="122">
        <v>518</v>
      </c>
      <c r="C123" s="114" t="str">
        <f ca="1">VLOOKUP($B123,TaskTable!$B:$E,2,FALSE)</f>
        <v>LOMR Topographic Survey</v>
      </c>
      <c r="D123" s="115">
        <f ca="1">VLOOKUP($B123,TaskTable!$B:$E,3,FALSE)</f>
        <v>0</v>
      </c>
      <c r="E123" s="115">
        <f ca="1">VLOOKUP($B123,TaskTable!$B:$E,3,FALSE)</f>
        <v>0</v>
      </c>
      <c r="F123" s="24"/>
    </row>
    <row r="124" spans="1:6" ht="120" x14ac:dyDescent="0.2">
      <c r="A124" s="79" t="s">
        <v>465</v>
      </c>
      <c r="B124" s="122">
        <v>518</v>
      </c>
      <c r="C124" s="114" t="str">
        <f ca="1">VLOOKUP($B124,TaskTable!$B:$E,2,FALSE)</f>
        <v>LOMR Topographic Survey</v>
      </c>
      <c r="D124" s="115">
        <f ca="1">VLOOKUP($B124,TaskTable!$B:$E,3,FALSE)</f>
        <v>0</v>
      </c>
      <c r="E124" s="115">
        <f ca="1">VLOOKUP($B124,TaskTable!$B:$E,3,FALSE)</f>
        <v>0</v>
      </c>
      <c r="F124" s="24"/>
    </row>
    <row r="125" spans="1:6" ht="24" x14ac:dyDescent="0.2">
      <c r="A125" s="98" t="str">
        <f ca="1">CHAR(10)&amp;"Task "&amp;B125&amp;" - "&amp;C125&amp;IF($D125&gt;0,""," (Not included in proposal)")</f>
        <v xml:space="preserve">
Task 519 - Elevation Certificate based on Construction Documents (Not included in proposal)</v>
      </c>
      <c r="B125" s="122">
        <v>519</v>
      </c>
      <c r="C125" s="114" t="str">
        <f ca="1">VLOOKUP($B125,TaskTable!$B:$E,2,FALSE)</f>
        <v>Elevation Certificate based on Construction Documents</v>
      </c>
      <c r="D125" s="115">
        <f ca="1">VLOOKUP($B125,TaskTable!$B:$E,3,FALSE)</f>
        <v>0</v>
      </c>
      <c r="E125" s="115">
        <f ca="1">VLOOKUP($B125,TaskTable!$B:$E,3,FALSE)</f>
        <v>0</v>
      </c>
      <c r="F125" s="24"/>
    </row>
    <row r="126" spans="1:6" ht="111.75" customHeight="1" x14ac:dyDescent="0.2">
      <c r="A126" s="79" t="s">
        <v>466</v>
      </c>
      <c r="B126" s="122">
        <v>519</v>
      </c>
      <c r="C126" s="114" t="str">
        <f ca="1">VLOOKUP($B126,TaskTable!$B:$E,2,FALSE)</f>
        <v>Elevation Certificate based on Construction Documents</v>
      </c>
      <c r="D126" s="115">
        <f ca="1">VLOOKUP($B126,TaskTable!$B:$E,3,FALSE)</f>
        <v>0</v>
      </c>
      <c r="E126" s="115">
        <f ca="1">VLOOKUP($B126,TaskTable!$B:$E,3,FALSE)</f>
        <v>0</v>
      </c>
      <c r="F126" s="24"/>
    </row>
    <row r="127" spans="1:6" ht="24" x14ac:dyDescent="0.2">
      <c r="A127" s="98" t="str">
        <f ca="1">CHAR(10)&amp;"Task "&amp;B127&amp;" - "&amp;C127&amp;IF($D127&gt;0,""," (Not included in proposal)")</f>
        <v xml:space="preserve">
Task 520 - Elevation Certificate based on Final Construction (Not included in proposal)</v>
      </c>
      <c r="B127" s="122">
        <v>520</v>
      </c>
      <c r="C127" s="114" t="str">
        <f ca="1">VLOOKUP($B127,TaskTable!$B:$E,2,FALSE)</f>
        <v>Elevation Certificate based on Final Construction</v>
      </c>
      <c r="D127" s="115">
        <f ca="1">VLOOKUP($B127,TaskTable!$B:$E,3,FALSE)</f>
        <v>0</v>
      </c>
      <c r="E127" s="115">
        <f ca="1">VLOOKUP($B127,TaskTable!$B:$E,3,FALSE)</f>
        <v>0</v>
      </c>
      <c r="F127" s="24"/>
    </row>
    <row r="128" spans="1:6" ht="120" x14ac:dyDescent="0.2">
      <c r="A128" s="79" t="s">
        <v>467</v>
      </c>
      <c r="B128" s="122">
        <v>520</v>
      </c>
      <c r="C128" s="114" t="str">
        <f ca="1">VLOOKUP($B128,TaskTable!$B:$E,2,FALSE)</f>
        <v>Elevation Certificate based on Final Construction</v>
      </c>
      <c r="D128" s="115">
        <f ca="1">VLOOKUP($B128,TaskTable!$B:$E,3,FALSE)</f>
        <v>0</v>
      </c>
      <c r="E128" s="115">
        <f ca="1">VLOOKUP($B128,TaskTable!$B:$E,3,FALSE)</f>
        <v>0</v>
      </c>
      <c r="F128" s="24"/>
    </row>
    <row r="129" spans="1:6" ht="36" x14ac:dyDescent="0.2">
      <c r="A129" s="79" t="s">
        <v>468</v>
      </c>
      <c r="B129" s="122">
        <v>520</v>
      </c>
      <c r="C129" s="114" t="str">
        <f ca="1">VLOOKUP($B129,TaskTable!$B:$E,2,FALSE)</f>
        <v>Elevation Certificate based on Final Construction</v>
      </c>
      <c r="D129" s="115">
        <f ca="1">VLOOKUP($B129,TaskTable!$B:$E,3,FALSE)</f>
        <v>0</v>
      </c>
      <c r="E129" s="115">
        <f ca="1">VLOOKUP($B129,TaskTable!$B:$E,3,FALSE)</f>
        <v>0</v>
      </c>
      <c r="F129" s="24"/>
    </row>
    <row r="130" spans="1:6" ht="108" x14ac:dyDescent="0.2">
      <c r="A130" s="79" t="s">
        <v>469</v>
      </c>
      <c r="B130" s="122">
        <v>520</v>
      </c>
      <c r="C130" s="114" t="str">
        <f ca="1">VLOOKUP($B130,TaskTable!$B:$E,2,FALSE)</f>
        <v>Elevation Certificate based on Final Construction</v>
      </c>
      <c r="D130" s="115">
        <f ca="1">VLOOKUP($B130,TaskTable!$B:$E,3,FALSE)</f>
        <v>0</v>
      </c>
      <c r="E130" s="115">
        <f ca="1">VLOOKUP($B130,TaskTable!$B:$E,3,FALSE)</f>
        <v>0</v>
      </c>
      <c r="F130" s="24"/>
    </row>
    <row r="131" spans="1:6" s="1" customFormat="1" ht="24" x14ac:dyDescent="0.2">
      <c r="A131" s="98" t="str">
        <f ca="1">CHAR(10)&amp;"Task "&amp;B131&amp;" - "&amp;C131&amp;IF($D131&gt;0,""," (Not included in proposal)")</f>
        <v xml:space="preserve">
Task 521 - Franchise Utility Coordination (Not included in proposal)</v>
      </c>
      <c r="B131" s="122">
        <v>521</v>
      </c>
      <c r="C131" s="114" t="str">
        <f ca="1">VLOOKUP($B131,TaskTable!$B:$E,2,FALSE)</f>
        <v>Franchise Utility Coordination</v>
      </c>
      <c r="D131" s="115">
        <f ca="1">VLOOKUP($B131,TaskTable!$B:$E,3,FALSE)</f>
        <v>0</v>
      </c>
      <c r="E131" s="115">
        <f ca="1">VLOOKUP($B131,TaskTable!$B:$E,3,FALSE)</f>
        <v>0</v>
      </c>
    </row>
    <row r="132" spans="1:6" ht="60" x14ac:dyDescent="0.2">
      <c r="A132" s="79" t="s">
        <v>477</v>
      </c>
      <c r="B132" s="122">
        <v>521</v>
      </c>
      <c r="C132" s="114" t="str">
        <f ca="1">VLOOKUP($B132,TaskTable!$B:$E,2,FALSE)</f>
        <v>Franchise Utility Coordination</v>
      </c>
      <c r="D132" s="115">
        <f ca="1">VLOOKUP($B132,TaskTable!$B:$E,3,FALSE)</f>
        <v>0</v>
      </c>
      <c r="E132" s="115">
        <f ca="1">VLOOKUP($B132,TaskTable!$B:$E,3,FALSE)</f>
        <v>0</v>
      </c>
      <c r="F132" s="24"/>
    </row>
    <row r="133" spans="1:6" ht="24" x14ac:dyDescent="0.2">
      <c r="A133" s="98" t="str">
        <f ca="1">CHAR(10)&amp;"Task "&amp;B133&amp;" - "&amp;C133&amp;IF($D133&gt;0,""," (Not included in proposal)")</f>
        <v xml:space="preserve">
Task 522 - Photometric Analysis (Not included in proposal)</v>
      </c>
      <c r="B133" s="122">
        <v>522</v>
      </c>
      <c r="C133" s="114" t="str">
        <f ca="1">VLOOKUP($B133,TaskTable!$B:$E,2,FALSE)</f>
        <v>Photometric Analysis</v>
      </c>
      <c r="D133" s="115">
        <f ca="1">VLOOKUP($B133,TaskTable!$B:$E,3,FALSE)</f>
        <v>0</v>
      </c>
      <c r="E133" s="115">
        <f ca="1">VLOOKUP($B133,TaskTable!$B:$E,3,FALSE)</f>
        <v>0</v>
      </c>
      <c r="F133" s="24"/>
    </row>
    <row r="134" spans="1:6" ht="96" x14ac:dyDescent="0.2">
      <c r="A134" s="79" t="s">
        <v>478</v>
      </c>
      <c r="B134" s="122">
        <v>522</v>
      </c>
      <c r="C134" s="114" t="str">
        <f ca="1">VLOOKUP($B134,TaskTable!$B:$E,2,FALSE)</f>
        <v>Photometric Analysis</v>
      </c>
      <c r="D134" s="115">
        <f ca="1">VLOOKUP($B134,TaskTable!$B:$E,3,FALSE)</f>
        <v>0</v>
      </c>
      <c r="E134" s="115">
        <f ca="1">VLOOKUP($B134,TaskTable!$B:$E,3,FALSE)</f>
        <v>0</v>
      </c>
      <c r="F134" s="24"/>
    </row>
    <row r="135" spans="1:6" ht="96" x14ac:dyDescent="0.2">
      <c r="A135" s="79" t="s">
        <v>461</v>
      </c>
      <c r="B135" s="122">
        <v>522</v>
      </c>
      <c r="C135" s="114" t="str">
        <f ca="1">VLOOKUP($B135,TaskTable!$B:$E,2,FALSE)</f>
        <v>Photometric Analysis</v>
      </c>
      <c r="D135" s="115">
        <f ca="1">VLOOKUP($B135,TaskTable!$B:$E,3,FALSE)</f>
        <v>0</v>
      </c>
      <c r="E135" s="115">
        <f ca="1">VLOOKUP($B135,TaskTable!$B:$E,3,FALSE)</f>
        <v>0</v>
      </c>
      <c r="F135" s="24"/>
    </row>
    <row r="136" spans="1:6" s="1" customFormat="1" ht="24" x14ac:dyDescent="0.2">
      <c r="A136" s="98" t="str">
        <f ca="1">CHAR(10)&amp;"Task "&amp;B136&amp;" - "&amp;C136&amp;IF($D136&gt;0,""," (Not included in proposal)")</f>
        <v xml:space="preserve">
Task 523 - USACE Field Reconnaissance and Site Visit Memorandum (Not included in proposal)</v>
      </c>
      <c r="B136" s="122">
        <v>523</v>
      </c>
      <c r="C136" s="114" t="str">
        <f ca="1">VLOOKUP($B136,TaskTable!$B:$E,2,FALSE)</f>
        <v>USACE Field Reconnaissance and Site Visit Memorandum</v>
      </c>
      <c r="D136" s="115">
        <f ca="1">VLOOKUP($B136,TaskTable!$B:$E,3,FALSE)</f>
        <v>0</v>
      </c>
      <c r="E136" s="115">
        <f ca="1">VLOOKUP($B136,TaskTable!$B:$E,3,FALSE)</f>
        <v>0</v>
      </c>
    </row>
    <row r="137" spans="1:6" ht="90" customHeight="1" x14ac:dyDescent="0.2">
      <c r="A137" s="79" t="s">
        <v>479</v>
      </c>
      <c r="B137" s="122">
        <v>523</v>
      </c>
      <c r="C137" s="114" t="str">
        <f ca="1">VLOOKUP($B137,TaskTable!$B:$E,2,FALSE)</f>
        <v>USACE Field Reconnaissance and Site Visit Memorandum</v>
      </c>
      <c r="D137" s="115">
        <f ca="1">VLOOKUP($B137,TaskTable!$B:$E,3,FALSE)</f>
        <v>0</v>
      </c>
      <c r="E137" s="115">
        <f ca="1">VLOOKUP($B137,TaskTable!$B:$E,3,FALSE)</f>
        <v>0</v>
      </c>
      <c r="F137" s="24"/>
    </row>
    <row r="138" spans="1:6" s="1" customFormat="1" ht="24" x14ac:dyDescent="0.2">
      <c r="A138" s="98" t="str">
        <f ca="1">CHAR(10)&amp;"Task "&amp;B138&amp;" - "&amp;C138&amp;IF($D138&gt;0,""," (Not included in proposal)")</f>
        <v xml:space="preserve">
Task 524 - USACE Permitting (Not included in proposal)</v>
      </c>
      <c r="B138" s="122">
        <v>524</v>
      </c>
      <c r="C138" s="114" t="str">
        <f ca="1">VLOOKUP($B138,TaskTable!$B:$E,2,FALSE)</f>
        <v>USACE Permitting</v>
      </c>
      <c r="D138" s="115">
        <f ca="1">VLOOKUP($B138,TaskTable!$B:$E,3,FALSE)</f>
        <v>0</v>
      </c>
      <c r="E138" s="115">
        <f ca="1">VLOOKUP($B138,TaskTable!$B:$E,3,FALSE)</f>
        <v>0</v>
      </c>
    </row>
    <row r="139" spans="1:6" ht="24" x14ac:dyDescent="0.2">
      <c r="A139" s="79" t="s">
        <v>137</v>
      </c>
      <c r="B139" s="122">
        <v>524</v>
      </c>
      <c r="C139" s="114" t="str">
        <f ca="1">VLOOKUP($B139,TaskTable!$B:$E,2,FALSE)</f>
        <v>USACE Permitting</v>
      </c>
      <c r="D139" s="115">
        <f ca="1">VLOOKUP($B139,TaskTable!$B:$E,3,FALSE)</f>
        <v>0</v>
      </c>
      <c r="E139" s="115">
        <f ca="1">VLOOKUP($B139,TaskTable!$B:$E,3,FALSE)</f>
        <v>0</v>
      </c>
      <c r="F139" s="24"/>
    </row>
    <row r="140" spans="1:6" s="1" customFormat="1" ht="24" x14ac:dyDescent="0.2">
      <c r="A140" s="98" t="str">
        <f ca="1">CHAR(10)&amp;"Task "&amp;B140&amp;" - "&amp;C140&amp;IF($D140&gt;0,""," (Not included in proposal)")</f>
        <v xml:space="preserve">
Task 525 - Tree Inventory (Not included in proposal)</v>
      </c>
      <c r="B140" s="122">
        <v>525</v>
      </c>
      <c r="C140" s="114" t="str">
        <f ca="1">VLOOKUP($B140,TaskTable!$B:$E,2,FALSE)</f>
        <v>Tree Inventory</v>
      </c>
      <c r="D140" s="115">
        <f ca="1">VLOOKUP($B140,TaskTable!$B:$E,3,FALSE)</f>
        <v>0</v>
      </c>
      <c r="E140" s="115">
        <f ca="1">VLOOKUP($B140,TaskTable!$B:$E,3,FALSE)</f>
        <v>0</v>
      </c>
    </row>
    <row r="141" spans="1:6" ht="60" x14ac:dyDescent="0.2">
      <c r="A141" s="79" t="s">
        <v>480</v>
      </c>
      <c r="B141" s="122">
        <v>525</v>
      </c>
      <c r="C141" s="114" t="str">
        <f ca="1">VLOOKUP($B141,TaskTable!$B:$E,2,FALSE)</f>
        <v>Tree Inventory</v>
      </c>
      <c r="D141" s="115">
        <f ca="1">VLOOKUP($B141,TaskTable!$B:$E,3,FALSE)</f>
        <v>0</v>
      </c>
      <c r="E141" s="115">
        <f ca="1">VLOOKUP($B141,TaskTable!$B:$E,3,FALSE)</f>
        <v>0</v>
      </c>
      <c r="F141" s="24"/>
    </row>
    <row r="142" spans="1:6" s="1" customFormat="1" ht="24" x14ac:dyDescent="0.2">
      <c r="A142" s="98" t="str">
        <f ca="1">CHAR(10)&amp;"Task "&amp;B142&amp;" - "&amp;C142&amp;IF($D142&gt;0,""," (Not included in proposal)")</f>
        <v xml:space="preserve">
Task 526 - Community Facilities Agreement / Three-Way Contract Assistance (Not included in proposal)</v>
      </c>
      <c r="B142" s="122">
        <v>526</v>
      </c>
      <c r="C142" s="114" t="str">
        <f ca="1">VLOOKUP($B142,TaskTable!$B:$E,2,FALSE)</f>
        <v>Community Facilities Agreement / Three-Way Contract Assistance</v>
      </c>
      <c r="D142" s="115">
        <f ca="1">VLOOKUP($B142,TaskTable!$B:$E,3,FALSE)</f>
        <v>0</v>
      </c>
      <c r="E142" s="115">
        <f ca="1">VLOOKUP($B142,TaskTable!$B:$E,3,FALSE)</f>
        <v>0</v>
      </c>
    </row>
    <row r="143" spans="1:6" ht="63" customHeight="1" x14ac:dyDescent="0.2">
      <c r="A143" s="79" t="s">
        <v>274</v>
      </c>
      <c r="B143" s="122">
        <v>526</v>
      </c>
      <c r="C143" s="114" t="str">
        <f ca="1">VLOOKUP($B143,TaskTable!$B:$E,2,FALSE)</f>
        <v>Community Facilities Agreement / Three-Way Contract Assistance</v>
      </c>
      <c r="D143" s="115">
        <f ca="1">VLOOKUP($B143,TaskTable!$B:$E,3,FALSE)</f>
        <v>0</v>
      </c>
      <c r="E143" s="115">
        <f ca="1">VLOOKUP($B143,TaskTable!$B:$E,3,FALSE)</f>
        <v>0</v>
      </c>
      <c r="F143" s="24"/>
    </row>
    <row r="144" spans="1:6" s="1" customFormat="1" ht="24" x14ac:dyDescent="0.2">
      <c r="A144" s="98" t="str">
        <f ca="1">CHAR(10)&amp;"Task "&amp;B144&amp;" - "&amp;C144&amp;IF($D144&gt;0,""," (Not included in proposal)")</f>
        <v xml:space="preserve">
Task 527 - Engineer's Opinion of Probable Construction Costs (OPCC) (Not included in proposal)</v>
      </c>
      <c r="B144" s="122">
        <v>527</v>
      </c>
      <c r="C144" s="114" t="str">
        <f ca="1">VLOOKUP($B144,TaskTable!$B:$E,2,FALSE)</f>
        <v>Engineer's Opinion of Probable Construction Costs (OPCC)</v>
      </c>
      <c r="D144" s="115">
        <f ca="1">VLOOKUP($B144,TaskTable!$B:$E,3,FALSE)</f>
        <v>0</v>
      </c>
      <c r="E144" s="115">
        <f ca="1">VLOOKUP($B144,TaskTable!$B:$E,3,FALSE)</f>
        <v>0</v>
      </c>
    </row>
    <row r="145" spans="1:6" ht="72.75" customHeight="1" x14ac:dyDescent="0.2">
      <c r="A145" s="79" t="s">
        <v>263</v>
      </c>
      <c r="B145" s="122">
        <v>527</v>
      </c>
      <c r="C145" s="114" t="str">
        <f ca="1">VLOOKUP($B145,TaskTable!$B:$E,2,FALSE)</f>
        <v>Engineer's Opinion of Probable Construction Costs (OPCC)</v>
      </c>
      <c r="D145" s="115">
        <f ca="1">VLOOKUP($B145,TaskTable!$B:$E,3,FALSE)</f>
        <v>0</v>
      </c>
      <c r="E145" s="115">
        <f ca="1">VLOOKUP($B145,TaskTable!$B:$E,3,FALSE)</f>
        <v>0</v>
      </c>
      <c r="F145" s="24"/>
    </row>
    <row r="146" spans="1:6" s="1" customFormat="1" ht="24" x14ac:dyDescent="0.2">
      <c r="A146" s="98" t="str">
        <f ca="1">CHAR(10)&amp;"Task "&amp;B146&amp;" - "&amp;C146&amp;IF($D146&gt;0,""," (Not included in proposal)")</f>
        <v xml:space="preserve">
Task 528 - Limited Project Management (Not included in proposal)</v>
      </c>
      <c r="B146" s="122">
        <v>528</v>
      </c>
      <c r="C146" s="114" t="str">
        <f ca="1">VLOOKUP($B146,TaskTable!$B:$E,2,FALSE)</f>
        <v>Limited Project Management</v>
      </c>
      <c r="D146" s="115">
        <f ca="1">VLOOKUP($B146,TaskTable!$B:$E,3,FALSE)</f>
        <v>0</v>
      </c>
      <c r="E146" s="115">
        <f ca="1">VLOOKUP($B146,TaskTable!$B:$E,3,FALSE)</f>
        <v>0</v>
      </c>
    </row>
    <row r="147" spans="1:6" ht="111.75" customHeight="1" x14ac:dyDescent="0.2">
      <c r="A147" s="79" t="s">
        <v>299</v>
      </c>
      <c r="B147" s="122">
        <v>528</v>
      </c>
      <c r="C147" s="114" t="str">
        <f ca="1">VLOOKUP($B147,TaskTable!$B:$E,2,FALSE)</f>
        <v>Limited Project Management</v>
      </c>
      <c r="D147" s="115">
        <f ca="1">VLOOKUP($B147,TaskTable!$B:$E,3,FALSE)</f>
        <v>0</v>
      </c>
      <c r="E147" s="115">
        <f ca="1">VLOOKUP($B147,TaskTable!$B:$E,3,FALSE)</f>
        <v>0</v>
      </c>
      <c r="F147" s="24"/>
    </row>
    <row r="148" spans="1:6" s="1" customFormat="1" ht="24" x14ac:dyDescent="0.2">
      <c r="A148" s="98" t="str">
        <f ca="1">CHAR(10)&amp;"Task "&amp;B148&amp;" - "&amp;C148&amp;IF($D148&gt;0,""," (Not included in proposal)")</f>
        <v xml:space="preserve">
Task 529 - Limited Electric Provider Coordination  (Not included in proposal)</v>
      </c>
      <c r="B148" s="122">
        <v>529</v>
      </c>
      <c r="C148" s="188" t="str">
        <f ca="1">VLOOKUP($B148,TaskTable!$B:$E,2,FALSE)</f>
        <v xml:space="preserve">Limited Electric Provider Coordination </v>
      </c>
      <c r="D148" s="189">
        <f ca="1">VLOOKUP($B148,TaskTable!$B:$E,3,FALSE)</f>
        <v>0</v>
      </c>
      <c r="E148" s="189">
        <f ca="1">VLOOKUP($B148,TaskTable!$B:$E,3,FALSE)</f>
        <v>0</v>
      </c>
    </row>
    <row r="149" spans="1:6" s="79" customFormat="1" ht="304.5" customHeight="1" x14ac:dyDescent="0.2">
      <c r="A149" s="79" t="s">
        <v>427</v>
      </c>
      <c r="B149" s="122">
        <v>529</v>
      </c>
      <c r="C149" s="188" t="str">
        <f ca="1">VLOOKUP($B149,TaskTable!$B:$E,2,FALSE)</f>
        <v xml:space="preserve">Limited Electric Provider Coordination </v>
      </c>
      <c r="D149" s="189">
        <f ca="1">VLOOKUP($B149,TaskTable!$B:$E,3,FALSE)</f>
        <v>0</v>
      </c>
      <c r="E149" s="189">
        <f ca="1">VLOOKUP($B149,TaskTable!$B:$E,3,FALSE)</f>
        <v>0</v>
      </c>
    </row>
    <row r="150" spans="1:6" ht="141.75" customHeight="1" x14ac:dyDescent="0.2">
      <c r="A150" s="79" t="s">
        <v>428</v>
      </c>
      <c r="B150" s="122">
        <v>529</v>
      </c>
      <c r="C150" s="188" t="str">
        <f ca="1">VLOOKUP($B150,TaskTable!$B:$E,2,FALSE)</f>
        <v xml:space="preserve">Limited Electric Provider Coordination </v>
      </c>
      <c r="D150" s="189">
        <f ca="1">VLOOKUP($B150,TaskTable!$B:$E,3,FALSE)</f>
        <v>0</v>
      </c>
      <c r="E150" s="189">
        <f ca="1">VLOOKUP($B150,TaskTable!$B:$E,3,FALSE)</f>
        <v>0</v>
      </c>
      <c r="F150" s="24"/>
    </row>
    <row r="151" spans="1:6" s="1" customFormat="1" ht="24" x14ac:dyDescent="0.2">
      <c r="A151" s="98" t="str">
        <f ca="1">CHAR(10)&amp;"Task "&amp;B151&amp;" - "&amp;C151&amp;IF($D151&gt;0,""," (Not included in proposal)")</f>
        <v xml:space="preserve">
Task 530 - Parking Structure Layout Review (Not included in proposal)</v>
      </c>
      <c r="B151" s="122">
        <v>530</v>
      </c>
      <c r="C151" s="114" t="str">
        <f ca="1">VLOOKUP($B151,TaskTable!$B:$E,2,FALSE)</f>
        <v>Parking Structure Layout Review</v>
      </c>
      <c r="D151" s="115">
        <f ca="1">VLOOKUP($B151,TaskTable!$B:$E,3,FALSE)</f>
        <v>0</v>
      </c>
      <c r="E151" s="115">
        <f ca="1">VLOOKUP($B151,TaskTable!$B:$E,3,FALSE)</f>
        <v>0</v>
      </c>
    </row>
    <row r="152" spans="1:6" s="36" customFormat="1" ht="252" x14ac:dyDescent="0.2">
      <c r="A152" s="79" t="s">
        <v>589</v>
      </c>
      <c r="B152" s="122">
        <v>530</v>
      </c>
      <c r="C152" s="114" t="str">
        <f ca="1">VLOOKUP($B152,TaskTable!$B:$E,2,FALSE)</f>
        <v>Parking Structure Layout Review</v>
      </c>
      <c r="D152" s="115">
        <f ca="1">VLOOKUP($B152,TaskTable!$B:$E,3,FALSE)</f>
        <v>0</v>
      </c>
      <c r="E152" s="115">
        <f ca="1">VLOOKUP($B152,TaskTable!$B:$E,3,FALSE)</f>
        <v>0</v>
      </c>
    </row>
    <row r="153" spans="1:6" s="36" customFormat="1" ht="132" x14ac:dyDescent="0.2">
      <c r="A153" s="79" t="s">
        <v>588</v>
      </c>
      <c r="B153" s="122">
        <v>530</v>
      </c>
      <c r="C153" s="114" t="str">
        <f ca="1">VLOOKUP($B153,TaskTable!$B:$E,2,FALSE)</f>
        <v>Parking Structure Layout Review</v>
      </c>
      <c r="D153" s="115">
        <f ca="1">VLOOKUP($B153,TaskTable!$B:$E,3,FALSE)</f>
        <v>0</v>
      </c>
      <c r="E153" s="115">
        <f ca="1">VLOOKUP($B153,TaskTable!$B:$E,3,FALSE)</f>
        <v>0</v>
      </c>
    </row>
    <row r="154" spans="1:6" s="36" customFormat="1" ht="24" x14ac:dyDescent="0.2">
      <c r="A154" s="98" t="str">
        <f ca="1">CHAR(10)&amp;"Task "&amp;B154&amp;" - "&amp;C154&amp;IF($D154&gt;0,""," (Not included in proposal)")</f>
        <v xml:space="preserve">
Task 531 - Other (Not included in proposal)</v>
      </c>
      <c r="B154" s="122">
        <v>531</v>
      </c>
      <c r="C154" s="114" t="str">
        <f ca="1">VLOOKUP($B154,TaskTable!$B:$E,2,FALSE)</f>
        <v>Other</v>
      </c>
      <c r="D154" s="115">
        <f ca="1">VLOOKUP($B154,TaskTable!$B:$E,3,FALSE)</f>
        <v>0</v>
      </c>
      <c r="E154" s="115">
        <f ca="1">VLOOKUP($B154,TaskTable!$B:$E,3,FALSE)</f>
        <v>0</v>
      </c>
    </row>
    <row r="155" spans="1:6" s="36" customFormat="1" x14ac:dyDescent="0.2">
      <c r="A155" s="79" t="s">
        <v>132</v>
      </c>
      <c r="B155" s="122">
        <v>531</v>
      </c>
      <c r="C155" s="114" t="str">
        <f ca="1">VLOOKUP($B155,TaskTable!$B:$E,2,FALSE)</f>
        <v>Other</v>
      </c>
      <c r="D155" s="115">
        <f ca="1">VLOOKUP($B155,TaskTable!$B:$E,3,FALSE)</f>
        <v>0</v>
      </c>
      <c r="E155" s="115">
        <f ca="1">VLOOKUP($B155,TaskTable!$B:$E,3,FALSE)</f>
        <v>0</v>
      </c>
    </row>
    <row r="156" spans="1:6" s="1" customFormat="1" ht="24" x14ac:dyDescent="0.2">
      <c r="A156" s="98" t="str">
        <f ca="1">CHAR(10)&amp;"Task "&amp;B156&amp;" - "&amp;C156&amp;IF($D156&gt;0,""," (Not included in proposal)")</f>
        <v xml:space="preserve">
Task 601 - Code Landscape Plan (Not included in proposal)</v>
      </c>
      <c r="B156" s="122">
        <v>601</v>
      </c>
      <c r="C156" s="114" t="str">
        <f ca="1">VLOOKUP($B156,TaskTable!$B:$E,2,FALSE)</f>
        <v>Code Landscape Plan</v>
      </c>
      <c r="D156" s="115">
        <f ca="1">VLOOKUP($B156,TaskTable!$B:$E,3,FALSE)</f>
        <v>0</v>
      </c>
      <c r="E156" s="115">
        <f ca="1">VLOOKUP($B156,TaskTable!$B:$E,3,FALSE)</f>
        <v>0</v>
      </c>
    </row>
    <row r="157" spans="1:6" s="36" customFormat="1" ht="48" x14ac:dyDescent="0.2">
      <c r="A157" s="79" t="s">
        <v>199</v>
      </c>
      <c r="B157" s="122">
        <v>601</v>
      </c>
      <c r="C157" s="114" t="str">
        <f ca="1">VLOOKUP($B157,TaskTable!$B:$E,2,FALSE)</f>
        <v>Code Landscape Plan</v>
      </c>
      <c r="D157" s="115">
        <f ca="1">VLOOKUP($B157,TaskTable!$B:$E,3,FALSE)</f>
        <v>0</v>
      </c>
      <c r="E157" s="115">
        <f ca="1">VLOOKUP($B157,TaskTable!$B:$E,3,FALSE)</f>
        <v>0</v>
      </c>
    </row>
    <row r="158" spans="1:6" s="1" customFormat="1" ht="24" x14ac:dyDescent="0.2">
      <c r="A158" s="98" t="str">
        <f ca="1">CHAR(10)&amp;"Task "&amp;B158&amp;" - "&amp;C158&amp;IF($D158&gt;0,""," (Not included in proposal)")</f>
        <v xml:space="preserve">
Task 602 - Submittals and Permitting (Not included in proposal)</v>
      </c>
      <c r="B158" s="122">
        <v>602</v>
      </c>
      <c r="C158" s="114" t="str">
        <f ca="1">VLOOKUP($B158,TaskTable!$B:$E,2,FALSE)</f>
        <v>Submittals and Permitting</v>
      </c>
      <c r="D158" s="115">
        <f ca="1">VLOOKUP($B158,TaskTable!$B:$E,3,FALSE)</f>
        <v>0</v>
      </c>
      <c r="E158" s="115">
        <f ca="1">VLOOKUP($B158,TaskTable!$B:$E,3,FALSE)</f>
        <v>0</v>
      </c>
    </row>
    <row r="159" spans="1:6" s="36" customFormat="1" ht="50.25" customHeight="1" x14ac:dyDescent="0.2">
      <c r="A159" s="79" t="s">
        <v>264</v>
      </c>
      <c r="B159" s="122">
        <v>602</v>
      </c>
      <c r="C159" s="114" t="str">
        <f ca="1">VLOOKUP($B159,TaskTable!$B:$E,2,FALSE)</f>
        <v>Submittals and Permitting</v>
      </c>
      <c r="D159" s="115">
        <f ca="1">VLOOKUP($B159,TaskTable!$B:$E,3,FALSE)</f>
        <v>0</v>
      </c>
      <c r="E159" s="115">
        <f ca="1">VLOOKUP($B159,TaskTable!$B:$E,3,FALSE)</f>
        <v>0</v>
      </c>
    </row>
    <row r="160" spans="1:6" s="1" customFormat="1" ht="24" x14ac:dyDescent="0.2">
      <c r="A160" s="98" t="str">
        <f ca="1">CHAR(10)&amp;"Task "&amp;B160&amp;" - "&amp;C160&amp;IF($D160&gt;0,""," (Not included in proposal)")</f>
        <v xml:space="preserve">
Task 603 - Meetings and Team Coordination (Not included in proposal)</v>
      </c>
      <c r="B160" s="122">
        <v>603</v>
      </c>
      <c r="C160" s="114" t="str">
        <f ca="1">VLOOKUP($B160,TaskTable!$B:$E,2,FALSE)</f>
        <v>Meetings and Team Coordination</v>
      </c>
      <c r="D160" s="115">
        <f ca="1">VLOOKUP($B160,TaskTable!$B:$E,3,FALSE)</f>
        <v>0</v>
      </c>
      <c r="E160" s="115">
        <f ca="1">VLOOKUP($B160,TaskTable!$B:$E,3,FALSE)</f>
        <v>0</v>
      </c>
    </row>
    <row r="161" spans="1:5" s="36" customFormat="1" ht="36" x14ac:dyDescent="0.2">
      <c r="A161" s="79" t="s">
        <v>566</v>
      </c>
      <c r="B161" s="122">
        <v>603</v>
      </c>
      <c r="C161" s="114" t="str">
        <f ca="1">VLOOKUP($B161,TaskTable!$B:$E,2,FALSE)</f>
        <v>Meetings and Team Coordination</v>
      </c>
      <c r="D161" s="115">
        <f ca="1">VLOOKUP($B161,TaskTable!$B:$E,3,FALSE)</f>
        <v>0</v>
      </c>
      <c r="E161" s="115">
        <f ca="1">VLOOKUP($B161,TaskTable!$B:$E,3,FALSE)</f>
        <v>0</v>
      </c>
    </row>
    <row r="162" spans="1:5" s="1" customFormat="1" ht="24" x14ac:dyDescent="0.2">
      <c r="A162" s="98" t="str">
        <f ca="1">CHAR(10)&amp;"Task "&amp;B162&amp;" - "&amp;C162&amp;IF($D162&gt;0,""," (Not included in proposal)")</f>
        <v xml:space="preserve">
Task 604 - Other (Not included in proposal)</v>
      </c>
      <c r="B162" s="122">
        <v>604</v>
      </c>
      <c r="C162" s="114" t="str">
        <f ca="1">VLOOKUP($B162,TaskTable!$B:$E,2,FALSE)</f>
        <v>Other</v>
      </c>
      <c r="D162" s="115">
        <f ca="1">VLOOKUP($B162,TaskTable!$B:$E,3,FALSE)</f>
        <v>0</v>
      </c>
      <c r="E162" s="115">
        <f ca="1">VLOOKUP($B162,TaskTable!$B:$E,3,FALSE)</f>
        <v>0</v>
      </c>
    </row>
    <row r="163" spans="1:5" s="36" customFormat="1" x14ac:dyDescent="0.2">
      <c r="A163" s="79" t="s">
        <v>132</v>
      </c>
      <c r="B163" s="122">
        <v>604</v>
      </c>
      <c r="C163" s="114" t="str">
        <f ca="1">VLOOKUP($B163,TaskTable!$B:$E,2,FALSE)</f>
        <v>Other</v>
      </c>
      <c r="D163" s="115">
        <f ca="1">VLOOKUP($B163,TaskTable!$B:$E,3,FALSE)</f>
        <v>0</v>
      </c>
      <c r="E163" s="115">
        <f ca="1">VLOOKUP($B163,TaskTable!$B:$E,3,FALSE)</f>
        <v>0</v>
      </c>
    </row>
    <row r="164" spans="1:5" s="1" customFormat="1" ht="24" x14ac:dyDescent="0.2">
      <c r="A164" s="98" t="str">
        <f ca="1">CHAR(10)&amp;"Task "&amp;B164&amp;" - "&amp;C164&amp;IF($D164&gt;0,""," (Not included in proposal)")</f>
        <v xml:space="preserve">
Task 701 - Landscape and Hardscape Schematic Design  (Not included in proposal)</v>
      </c>
      <c r="B164" s="122">
        <v>701</v>
      </c>
      <c r="C164" s="114" t="str">
        <f ca="1">VLOOKUP($B164,TaskTable!$B:$E,2,FALSE)</f>
        <v xml:space="preserve">Landscape and Hardscape Schematic Design </v>
      </c>
      <c r="D164" s="115">
        <f ca="1">VLOOKUP($B164,TaskTable!$B:$E,3,FALSE)</f>
        <v>0</v>
      </c>
      <c r="E164" s="115">
        <f ca="1">VLOOKUP($B164,TaskTable!$B:$E,3,FALSE)</f>
        <v>0</v>
      </c>
    </row>
    <row r="165" spans="1:5" s="36" customFormat="1" ht="156" x14ac:dyDescent="0.2">
      <c r="A165" s="79" t="s">
        <v>481</v>
      </c>
      <c r="B165" s="122">
        <v>701</v>
      </c>
      <c r="C165" s="114" t="str">
        <f ca="1">VLOOKUP($B165,TaskTable!$B:$E,2,FALSE)</f>
        <v xml:space="preserve">Landscape and Hardscape Schematic Design </v>
      </c>
      <c r="D165" s="115">
        <f ca="1">VLOOKUP($B165,TaskTable!$B:$E,3,FALSE)</f>
        <v>0</v>
      </c>
      <c r="E165" s="115">
        <f ca="1">VLOOKUP($B165,TaskTable!$B:$E,3,FALSE)</f>
        <v>0</v>
      </c>
    </row>
    <row r="166" spans="1:5" s="1" customFormat="1" ht="24" x14ac:dyDescent="0.2">
      <c r="A166" s="98" t="str">
        <f ca="1">CHAR(10)&amp;"Task "&amp;B166&amp;" - "&amp;C166&amp;IF($D166&gt;0,""," (Not included in proposal)")</f>
        <v xml:space="preserve">
Task 702 - Landscape and Hardscape Design Development (Not included in proposal)</v>
      </c>
      <c r="B166" s="122">
        <v>702</v>
      </c>
      <c r="C166" s="114" t="str">
        <f ca="1">VLOOKUP($B166,TaskTable!$B:$E,2,FALSE)</f>
        <v>Landscape and Hardscape Design Development</v>
      </c>
      <c r="D166" s="115">
        <f ca="1">VLOOKUP($B166,TaskTable!$B:$E,3,FALSE)</f>
        <v>0</v>
      </c>
      <c r="E166" s="115">
        <f ca="1">VLOOKUP($B166,TaskTable!$B:$E,3,FALSE)</f>
        <v>0</v>
      </c>
    </row>
    <row r="167" spans="1:5" s="36" customFormat="1" ht="96" x14ac:dyDescent="0.2">
      <c r="A167" s="79" t="s">
        <v>265</v>
      </c>
      <c r="B167" s="122">
        <v>702</v>
      </c>
      <c r="C167" s="114" t="str">
        <f ca="1">VLOOKUP($B167,TaskTable!$B:$E,2,FALSE)</f>
        <v>Landscape and Hardscape Design Development</v>
      </c>
      <c r="D167" s="115">
        <f ca="1">VLOOKUP($B167,TaskTable!$B:$E,3,FALSE)</f>
        <v>0</v>
      </c>
      <c r="E167" s="115">
        <f ca="1">VLOOKUP($B167,TaskTable!$B:$E,3,FALSE)</f>
        <v>0</v>
      </c>
    </row>
    <row r="168" spans="1:5" s="1" customFormat="1" ht="24" x14ac:dyDescent="0.2">
      <c r="A168" s="98" t="str">
        <f ca="1">CHAR(10)&amp;"Task "&amp;B168&amp;" - "&amp;C168&amp;IF($D168&gt;0,""," (Not included in proposal)")</f>
        <v xml:space="preserve">
Task 703 - Landscape and Hardscape Construction Drawings (Not included in proposal)</v>
      </c>
      <c r="B168" s="122">
        <v>703</v>
      </c>
      <c r="C168" s="114" t="str">
        <f ca="1">VLOOKUP($B168,TaskTable!$B:$E,2,FALSE)</f>
        <v>Landscape and Hardscape Construction Drawings</v>
      </c>
      <c r="D168" s="115">
        <f ca="1">VLOOKUP($B168,TaskTable!$B:$E,3,FALSE)</f>
        <v>0</v>
      </c>
      <c r="E168" s="115">
        <f ca="1">VLOOKUP($B168,TaskTable!$B:$E,3,FALSE)</f>
        <v>0</v>
      </c>
    </row>
    <row r="169" spans="1:5" s="36" customFormat="1" ht="264" x14ac:dyDescent="0.2">
      <c r="A169" s="79" t="s">
        <v>482</v>
      </c>
      <c r="B169" s="122">
        <v>703</v>
      </c>
      <c r="C169" s="114" t="str">
        <f ca="1">VLOOKUP($B169,TaskTable!$B:$E,2,FALSE)</f>
        <v>Landscape and Hardscape Construction Drawings</v>
      </c>
      <c r="D169" s="115">
        <f ca="1">VLOOKUP($B169,TaskTable!$B:$E,3,FALSE)</f>
        <v>0</v>
      </c>
      <c r="E169" s="115">
        <f ca="1">VLOOKUP($B169,TaskTable!$B:$E,3,FALSE)</f>
        <v>0</v>
      </c>
    </row>
    <row r="170" spans="1:5" s="1" customFormat="1" ht="24" x14ac:dyDescent="0.2">
      <c r="A170" s="98" t="str">
        <f ca="1">CHAR(10)&amp;"Task "&amp;B170&amp;" - "&amp;C170&amp;IF($D170&gt;0,""," (Not included in proposal)")</f>
        <v xml:space="preserve">
Task 704 - Irrigation Plan (Not included in proposal)</v>
      </c>
      <c r="B170" s="122">
        <v>704</v>
      </c>
      <c r="C170" s="114" t="str">
        <f ca="1">VLOOKUP($B170,TaskTable!$B:$E,2,FALSE)</f>
        <v>Irrigation Plan</v>
      </c>
      <c r="D170" s="115">
        <f ca="1">VLOOKUP($B170,TaskTable!$B:$E,3,FALSE)</f>
        <v>0</v>
      </c>
      <c r="E170" s="115">
        <f ca="1">VLOOKUP($B170,TaskTable!$B:$E,3,FALSE)</f>
        <v>0</v>
      </c>
    </row>
    <row r="171" spans="1:5" s="36" customFormat="1" ht="60" x14ac:dyDescent="0.2">
      <c r="A171" s="79" t="s">
        <v>266</v>
      </c>
      <c r="B171" s="122">
        <v>704</v>
      </c>
      <c r="C171" s="114" t="str">
        <f ca="1">VLOOKUP($B171,TaskTable!$B:$E,2,FALSE)</f>
        <v>Irrigation Plan</v>
      </c>
      <c r="D171" s="115">
        <f ca="1">VLOOKUP($B171,TaskTable!$B:$E,3,FALSE)</f>
        <v>0</v>
      </c>
      <c r="E171" s="115">
        <f ca="1">VLOOKUP($B171,TaskTable!$B:$E,3,FALSE)</f>
        <v>0</v>
      </c>
    </row>
    <row r="172" spans="1:5" s="1" customFormat="1" ht="24" x14ac:dyDescent="0.2">
      <c r="A172" s="98" t="str">
        <f ca="1">CHAR(10)&amp;"Task "&amp;B172&amp;" - "&amp;C172&amp;IF($D172&gt;0,""," (Not included in proposal)")</f>
        <v xml:space="preserve">
Task 705 - Landscape Architectural Value Engineering (Not included in proposal)</v>
      </c>
      <c r="B172" s="122">
        <v>705</v>
      </c>
      <c r="C172" s="114" t="str">
        <f ca="1">VLOOKUP($B172,TaskTable!$B:$E,2,FALSE)</f>
        <v>Landscape Architectural Value Engineering</v>
      </c>
      <c r="D172" s="115">
        <f ca="1">VLOOKUP($B172,TaskTable!$B:$E,3,FALSE)</f>
        <v>0</v>
      </c>
      <c r="E172" s="115">
        <f ca="1">VLOOKUP($B172,TaskTable!$B:$E,3,FALSE)</f>
        <v>0</v>
      </c>
    </row>
    <row r="173" spans="1:5" s="36" customFormat="1" ht="48" x14ac:dyDescent="0.2">
      <c r="A173" s="79" t="s">
        <v>200</v>
      </c>
      <c r="B173" s="122">
        <v>705</v>
      </c>
      <c r="C173" s="114" t="str">
        <f ca="1">VLOOKUP($B173,TaskTable!$B:$E,2,FALSE)</f>
        <v>Landscape Architectural Value Engineering</v>
      </c>
      <c r="D173" s="115">
        <f ca="1">VLOOKUP($B173,TaskTable!$B:$E,3,FALSE)</f>
        <v>0</v>
      </c>
      <c r="E173" s="115">
        <f ca="1">VLOOKUP($B173,TaskTable!$B:$E,3,FALSE)</f>
        <v>0</v>
      </c>
    </row>
    <row r="174" spans="1:5" s="1" customFormat="1" ht="24" x14ac:dyDescent="0.2">
      <c r="A174" s="98" t="str">
        <f ca="1">CHAR(10)&amp;"Task "&amp;B174&amp;" - "&amp;C174&amp;IF($D174&gt;0,""," (Not included in proposal)")</f>
        <v xml:space="preserve">
Task 706 - Schematic Lighting Design  (Not included in proposal)</v>
      </c>
      <c r="B174" s="122">
        <v>706</v>
      </c>
      <c r="C174" s="114" t="str">
        <f ca="1">VLOOKUP($B174,TaskTable!$B:$E,2,FALSE)</f>
        <v xml:space="preserve">Schematic Lighting Design </v>
      </c>
      <c r="D174" s="115">
        <f ca="1">VLOOKUP($B174,TaskTable!$B:$E,3,FALSE)</f>
        <v>0</v>
      </c>
      <c r="E174" s="115">
        <f ca="1">VLOOKUP($B174,TaskTable!$B:$E,3,FALSE)</f>
        <v>0</v>
      </c>
    </row>
    <row r="175" spans="1:5" s="36" customFormat="1" ht="60" x14ac:dyDescent="0.2">
      <c r="A175" s="79" t="s">
        <v>484</v>
      </c>
      <c r="B175" s="122">
        <v>706</v>
      </c>
      <c r="C175" s="114" t="str">
        <f ca="1">VLOOKUP($B175,TaskTable!$B:$E,2,FALSE)</f>
        <v xml:space="preserve">Schematic Lighting Design </v>
      </c>
      <c r="D175" s="115">
        <f ca="1">VLOOKUP($B175,TaskTable!$B:$E,3,FALSE)</f>
        <v>0</v>
      </c>
      <c r="E175" s="115">
        <f ca="1">VLOOKUP($B175,TaskTable!$B:$E,3,FALSE)</f>
        <v>0</v>
      </c>
    </row>
    <row r="176" spans="1:5" s="1" customFormat="1" ht="24" x14ac:dyDescent="0.2">
      <c r="A176" s="98" t="str">
        <f ca="1">CHAR(10)&amp;"Task "&amp;B176&amp;" - "&amp;C176&amp;IF($D176&gt;0,""," (Not included in proposal)")</f>
        <v xml:space="preserve">
Task 707 - Submittals and Permitting (Not included in proposal)</v>
      </c>
      <c r="B176" s="122">
        <v>707</v>
      </c>
      <c r="C176" s="114" t="str">
        <f ca="1">VLOOKUP($B176,TaskTable!$B:$E,2,FALSE)</f>
        <v>Submittals and Permitting</v>
      </c>
      <c r="D176" s="115">
        <f ca="1">VLOOKUP($B176,TaskTable!$B:$E,3,FALSE)</f>
        <v>0</v>
      </c>
      <c r="E176" s="115">
        <f ca="1">VLOOKUP($B176,TaskTable!$B:$E,3,FALSE)</f>
        <v>0</v>
      </c>
    </row>
    <row r="177" spans="1:6" s="36" customFormat="1" ht="48" x14ac:dyDescent="0.2">
      <c r="A177" s="79" t="s">
        <v>483</v>
      </c>
      <c r="B177" s="122">
        <v>707</v>
      </c>
      <c r="C177" s="114" t="str">
        <f ca="1">VLOOKUP($B177,TaskTable!$B:$E,2,FALSE)</f>
        <v>Submittals and Permitting</v>
      </c>
      <c r="D177" s="115">
        <f ca="1">VLOOKUP($B177,TaskTable!$B:$E,3,FALSE)</f>
        <v>0</v>
      </c>
      <c r="E177" s="115">
        <f ca="1">VLOOKUP($B177,TaskTable!$B:$E,3,FALSE)</f>
        <v>0</v>
      </c>
    </row>
    <row r="178" spans="1:6" s="1" customFormat="1" ht="24" x14ac:dyDescent="0.2">
      <c r="A178" s="98" t="str">
        <f ca="1">CHAR(10)&amp;"Task "&amp;B178&amp;" - "&amp;C178&amp;IF($D178&gt;0,""," (Not included in proposal)")</f>
        <v xml:space="preserve">
Task 708 - Meetings and Team Coordination (Not included in proposal)</v>
      </c>
      <c r="B178" s="122">
        <v>708</v>
      </c>
      <c r="C178" s="114" t="str">
        <f ca="1">VLOOKUP($B178,TaskTable!$B:$E,2,FALSE)</f>
        <v>Meetings and Team Coordination</v>
      </c>
      <c r="D178" s="115">
        <f ca="1">VLOOKUP($B178,TaskTable!$B:$E,3,FALSE)</f>
        <v>0</v>
      </c>
      <c r="E178" s="115">
        <f ca="1">VLOOKUP($B178,TaskTable!$B:$E,3,FALSE)</f>
        <v>0</v>
      </c>
    </row>
    <row r="179" spans="1:6" s="36" customFormat="1" ht="36" x14ac:dyDescent="0.2">
      <c r="A179" s="79" t="s">
        <v>566</v>
      </c>
      <c r="B179" s="122">
        <v>708</v>
      </c>
      <c r="C179" s="114" t="str">
        <f ca="1">VLOOKUP($B179,TaskTable!$B:$E,2,FALSE)</f>
        <v>Meetings and Team Coordination</v>
      </c>
      <c r="D179" s="115">
        <f ca="1">VLOOKUP($B179,TaskTable!$B:$E,3,FALSE)</f>
        <v>0</v>
      </c>
      <c r="E179" s="115">
        <f ca="1">VLOOKUP($B179,TaskTable!$B:$E,3,FALSE)</f>
        <v>0</v>
      </c>
    </row>
    <row r="180" spans="1:6" s="1" customFormat="1" ht="24" x14ac:dyDescent="0.2">
      <c r="A180" s="98" t="str">
        <f ca="1">CHAR(10)&amp;"Task "&amp;B180&amp;" - "&amp;C180&amp;IF($D180&gt;0,""," (Not included in proposal)")</f>
        <v xml:space="preserve">
Task 709 - Other (Not included in proposal)</v>
      </c>
      <c r="B180" s="122">
        <v>709</v>
      </c>
      <c r="C180" s="114" t="str">
        <f ca="1">VLOOKUP($B180,TaskTable!$B:$E,2,FALSE)</f>
        <v>Other</v>
      </c>
      <c r="D180" s="115">
        <f ca="1">VLOOKUP($B180,TaskTable!$B:$E,3,FALSE)</f>
        <v>0</v>
      </c>
      <c r="E180" s="115">
        <f ca="1">VLOOKUP($B180,TaskTable!$B:$E,3,FALSE)</f>
        <v>0</v>
      </c>
    </row>
    <row r="181" spans="1:6" x14ac:dyDescent="0.2">
      <c r="A181" s="79" t="s">
        <v>132</v>
      </c>
      <c r="B181" s="122">
        <v>709</v>
      </c>
      <c r="C181" s="114" t="str">
        <f ca="1">VLOOKUP($B181,TaskTable!$B:$E,2,FALSE)</f>
        <v>Other</v>
      </c>
      <c r="D181" s="115">
        <f ca="1">VLOOKUP($B181,TaskTable!$B:$E,3,FALSE)</f>
        <v>0</v>
      </c>
      <c r="E181" s="115">
        <f ca="1">VLOOKUP($B181,TaskTable!$B:$E,3,FALSE)</f>
        <v>0</v>
      </c>
      <c r="F181" s="24"/>
    </row>
    <row r="182" spans="1:6" s="1" customFormat="1" ht="24" x14ac:dyDescent="0.2">
      <c r="A182" s="98" t="str">
        <f ca="1">CHAR(10)&amp;"Task "&amp;B182&amp;" - "&amp;C182&amp;IF($D182&gt;0,""," (Not included in proposal)")</f>
        <v xml:space="preserve">
Task 801 - Response to RFI / Submittals - Civil (Not included in proposal)</v>
      </c>
      <c r="B182" s="122">
        <v>801</v>
      </c>
      <c r="C182" s="114" t="str">
        <f ca="1">VLOOKUP($B182,TaskTable!$B:$E,2,FALSE)</f>
        <v>Response to RFI / Submittals - Civil</v>
      </c>
      <c r="D182" s="115">
        <f ca="1">VLOOKUP($B182,TaskTable!$B:$E,3,FALSE)</f>
        <v>0</v>
      </c>
      <c r="E182" s="115">
        <f ca="1">VLOOKUP($B182,TaskTable!$B:$E,3,FALSE)</f>
        <v>0</v>
      </c>
    </row>
    <row r="183" spans="1:6" ht="72" x14ac:dyDescent="0.2">
      <c r="A183" s="79" t="s">
        <v>485</v>
      </c>
      <c r="B183" s="122">
        <v>801</v>
      </c>
      <c r="C183" s="114" t="str">
        <f ca="1">VLOOKUP($B183,TaskTable!$B:$E,2,FALSE)</f>
        <v>Response to RFI / Submittals - Civil</v>
      </c>
      <c r="D183" s="115">
        <f ca="1">VLOOKUP($B183,TaskTable!$B:$E,3,FALSE)</f>
        <v>0</v>
      </c>
      <c r="E183" s="115">
        <f ca="1">VLOOKUP($B183,TaskTable!$B:$E,3,FALSE)</f>
        <v>0</v>
      </c>
      <c r="F183" s="24"/>
    </row>
    <row r="184" spans="1:6" s="1" customFormat="1" ht="24" x14ac:dyDescent="0.2">
      <c r="A184" s="98" t="str">
        <f ca="1">CHAR(10)&amp;"Task "&amp;B184&amp;" - "&amp;C184&amp;IF($D184&gt;0,""," (Not included in proposal)")</f>
        <v xml:space="preserve">
Task 802 - Site Visits - Civil (Not included in proposal)</v>
      </c>
      <c r="B184" s="122">
        <v>802</v>
      </c>
      <c r="C184" s="114" t="str">
        <f ca="1">VLOOKUP($B184,TaskTable!$B:$E,2,FALSE)</f>
        <v>Site Visits - Civil</v>
      </c>
      <c r="D184" s="115">
        <f ca="1">VLOOKUP($B184,TaskTable!$B:$E,3,FALSE)</f>
        <v>0</v>
      </c>
      <c r="E184" s="115">
        <f ca="1">VLOOKUP($B184,TaskTable!$B:$E,3,FALSE)</f>
        <v>0</v>
      </c>
    </row>
    <row r="185" spans="1:6" ht="72" x14ac:dyDescent="0.2">
      <c r="A185" s="79" t="s">
        <v>300</v>
      </c>
      <c r="B185" s="122">
        <v>802</v>
      </c>
      <c r="C185" s="114" t="str">
        <f ca="1">VLOOKUP($B185,TaskTable!$B:$E,2,FALSE)</f>
        <v>Site Visits - Civil</v>
      </c>
      <c r="D185" s="115">
        <f ca="1">VLOOKUP($B185,TaskTable!$B:$E,3,FALSE)</f>
        <v>0</v>
      </c>
      <c r="E185" s="115">
        <f ca="1">VLOOKUP($B185,TaskTable!$B:$E,3,FALSE)</f>
        <v>0</v>
      </c>
      <c r="F185" s="24"/>
    </row>
    <row r="186" spans="1:6" s="1" customFormat="1" ht="24" x14ac:dyDescent="0.2">
      <c r="A186" s="98" t="str">
        <f ca="1">CHAR(10)&amp;"Task "&amp;B186&amp;" - "&amp;C186&amp;IF($D186&gt;0,""," (Not included in proposal)")</f>
        <v xml:space="preserve">
Task 803 - Record Drawings - Civil (Not included in proposal)</v>
      </c>
      <c r="B186" s="122">
        <v>803</v>
      </c>
      <c r="C186" s="114" t="str">
        <f ca="1">VLOOKUP($B186,TaskTable!$B:$E,2,FALSE)</f>
        <v>Record Drawings - Civil</v>
      </c>
      <c r="D186" s="115">
        <f ca="1">VLOOKUP($B186,TaskTable!$B:$E,3,FALSE)</f>
        <v>0</v>
      </c>
      <c r="E186" s="115">
        <f ca="1">VLOOKUP($B186,TaskTable!$B:$E,3,FALSE)</f>
        <v>0</v>
      </c>
    </row>
    <row r="187" spans="1:6" ht="84" x14ac:dyDescent="0.2">
      <c r="A187" s="79" t="s">
        <v>382</v>
      </c>
      <c r="B187" s="122">
        <v>803</v>
      </c>
      <c r="C187" s="114" t="str">
        <f ca="1">VLOOKUP($B187,TaskTable!$B:$E,2,FALSE)</f>
        <v>Record Drawings - Civil</v>
      </c>
      <c r="D187" s="115">
        <f ca="1">VLOOKUP($B187,TaskTable!$B:$E,3,FALSE)</f>
        <v>0</v>
      </c>
      <c r="E187" s="115">
        <f ca="1">VLOOKUP($B187,TaskTable!$B:$E,3,FALSE)</f>
        <v>0</v>
      </c>
      <c r="F187" s="24"/>
    </row>
    <row r="188" spans="1:6" s="1" customFormat="1" ht="24" x14ac:dyDescent="0.2">
      <c r="A188" s="98" t="str">
        <f ca="1">CHAR(10)&amp;"Task "&amp;B188&amp;" - "&amp;C188&amp;IF($D188&gt;0,""," (Not included in proposal)")</f>
        <v xml:space="preserve">
Task 804 - Response to RFI / Submittals - Landscape (Not included in proposal)</v>
      </c>
      <c r="B188" s="122">
        <v>804</v>
      </c>
      <c r="C188" s="114" t="str">
        <f ca="1">VLOOKUP($B188,TaskTable!$B:$E,2,FALSE)</f>
        <v>Response to RFI / Submittals - Landscape</v>
      </c>
      <c r="D188" s="115">
        <f ca="1">VLOOKUP($B188,TaskTable!$B:$E,3,FALSE)</f>
        <v>0</v>
      </c>
      <c r="E188" s="115">
        <f ca="1">VLOOKUP($B188,TaskTable!$B:$E,3,FALSE)</f>
        <v>0</v>
      </c>
    </row>
    <row r="189" spans="1:6" ht="72" x14ac:dyDescent="0.2">
      <c r="A189" s="79" t="s">
        <v>486</v>
      </c>
      <c r="B189" s="122">
        <v>804</v>
      </c>
      <c r="C189" s="114" t="str">
        <f ca="1">VLOOKUP($B189,TaskTable!$B:$E,2,FALSE)</f>
        <v>Response to RFI / Submittals - Landscape</v>
      </c>
      <c r="D189" s="115">
        <f ca="1">VLOOKUP($B189,TaskTable!$B:$E,3,FALSE)</f>
        <v>0</v>
      </c>
      <c r="E189" s="115">
        <f ca="1">VLOOKUP($B189,TaskTable!$B:$E,3,FALSE)</f>
        <v>0</v>
      </c>
      <c r="F189" s="24"/>
    </row>
    <row r="190" spans="1:6" s="1" customFormat="1" ht="24" x14ac:dyDescent="0.2">
      <c r="A190" s="98" t="str">
        <f ca="1">CHAR(10)&amp;"Task "&amp;B190&amp;" - "&amp;C190&amp;IF($D190&gt;0,""," (Not included in proposal)")</f>
        <v xml:space="preserve">
Task 805 - Site Visits - Landscape (Not included in proposal)</v>
      </c>
      <c r="B190" s="122">
        <v>805</v>
      </c>
      <c r="C190" s="114" t="str">
        <f ca="1">VLOOKUP($B190,TaskTable!$B:$E,2,FALSE)</f>
        <v>Site Visits - Landscape</v>
      </c>
      <c r="D190" s="115">
        <f ca="1">VLOOKUP($B190,TaskTable!$B:$E,3,FALSE)</f>
        <v>0</v>
      </c>
      <c r="E190" s="115">
        <f ca="1">VLOOKUP($B190,TaskTable!$B:$E,3,FALSE)</f>
        <v>0</v>
      </c>
    </row>
    <row r="191" spans="1:6" ht="72" x14ac:dyDescent="0.2">
      <c r="A191" s="79" t="s">
        <v>300</v>
      </c>
      <c r="B191" s="122">
        <v>805</v>
      </c>
      <c r="C191" s="114" t="str">
        <f ca="1">VLOOKUP($B191,TaskTable!$B:$E,2,FALSE)</f>
        <v>Site Visits - Landscape</v>
      </c>
      <c r="D191" s="115">
        <f ca="1">VLOOKUP($B191,TaskTable!$B:$E,3,FALSE)</f>
        <v>0</v>
      </c>
      <c r="E191" s="115">
        <f ca="1">VLOOKUP($B191,TaskTable!$B:$E,3,FALSE)</f>
        <v>0</v>
      </c>
      <c r="F191" s="24"/>
    </row>
    <row r="192" spans="1:6" s="1" customFormat="1" ht="24" x14ac:dyDescent="0.2">
      <c r="A192" s="98" t="str">
        <f ca="1">CHAR(10)&amp;"Task "&amp;B192&amp;" - "&amp;C192&amp;IF($D192&gt;0,""," (Not included in proposal)")</f>
        <v xml:space="preserve">
Task 806 - Record Drawings - Landscape (Not included in proposal)</v>
      </c>
      <c r="B192" s="122">
        <v>806</v>
      </c>
      <c r="C192" s="114" t="str">
        <f ca="1">VLOOKUP($B192,TaskTable!$B:$E,2,FALSE)</f>
        <v>Record Drawings - Landscape</v>
      </c>
      <c r="D192" s="115">
        <f ca="1">VLOOKUP($B192,TaskTable!$B:$E,3,FALSE)</f>
        <v>0</v>
      </c>
      <c r="E192" s="115">
        <f ca="1">VLOOKUP($B192,TaskTable!$B:$E,3,FALSE)</f>
        <v>0</v>
      </c>
    </row>
    <row r="193" spans="1:6" ht="72" x14ac:dyDescent="0.2">
      <c r="A193" s="79" t="s">
        <v>487</v>
      </c>
      <c r="B193" s="122">
        <v>806</v>
      </c>
      <c r="C193" s="114" t="str">
        <f ca="1">VLOOKUP($B193,TaskTable!$B:$E,2,FALSE)</f>
        <v>Record Drawings - Landscape</v>
      </c>
      <c r="D193" s="115">
        <f ca="1">VLOOKUP($B193,TaskTable!$B:$E,3,FALSE)</f>
        <v>0</v>
      </c>
      <c r="E193" s="115">
        <f ca="1">VLOOKUP($B193,TaskTable!$B:$E,3,FALSE)</f>
        <v>0</v>
      </c>
      <c r="F193" s="24"/>
    </row>
    <row r="194" spans="1:6" ht="24" x14ac:dyDescent="0.2">
      <c r="A194" s="98" t="str">
        <f ca="1">CHAR(10)&amp;"Task "&amp;B194&amp;" - "&amp;C194&amp;IF($D194&gt;0,""," (Not included in proposal)")</f>
        <v xml:space="preserve">
Task 807 - Other (Not included in proposal)</v>
      </c>
      <c r="B194" s="122">
        <v>807</v>
      </c>
      <c r="C194" s="114" t="str">
        <f ca="1">VLOOKUP($B194,TaskTable!$B:$E,2,FALSE)</f>
        <v>Other</v>
      </c>
      <c r="D194" s="115">
        <f ca="1">VLOOKUP($B194,TaskTable!$B:$E,3,FALSE)</f>
        <v>0</v>
      </c>
      <c r="E194" s="115">
        <f ca="1">VLOOKUP($B194,TaskTable!$B:$E,3,FALSE)</f>
        <v>0</v>
      </c>
      <c r="F194" s="24"/>
    </row>
    <row r="195" spans="1:6" x14ac:dyDescent="0.2">
      <c r="A195" s="79" t="s">
        <v>132</v>
      </c>
      <c r="B195" s="122">
        <v>807</v>
      </c>
      <c r="C195" s="114" t="str">
        <f ca="1">VLOOKUP($B195,TaskTable!$B:$E,2,FALSE)</f>
        <v>Other</v>
      </c>
      <c r="D195" s="115">
        <f ca="1">VLOOKUP($B195,TaskTable!$B:$E,3,FALSE)</f>
        <v>0</v>
      </c>
      <c r="E195" s="115">
        <f ca="1">VLOOKUP($B195,TaskTable!$B:$E,3,FALSE)</f>
        <v>0</v>
      </c>
      <c r="F195" s="24"/>
    </row>
  </sheetData>
  <conditionalFormatting sqref="B3 B18 B20 B22 B24 B26 B28 B30 B32 B34 B36 B38 B40 B42 B44 B46 B48 B50 B52 B54 B56 B58 B60 B62 B64 B78 B80 B5 B7 B9 B66 B11:B12 B14 B71:B73 B75:B76 B82:B152 B156:B195">
    <cfRule type="expression" dxfId="56" priority="131">
      <formula>AND(#REF!&gt;0,#REF!&lt;&gt;"")</formula>
    </cfRule>
    <cfRule type="expression" dxfId="55" priority="132">
      <formula>AND(#REF!=0,#REF!&lt;&gt;"")</formula>
    </cfRule>
  </conditionalFormatting>
  <conditionalFormatting sqref="A2 A4 A6 A8 A10 A17 A19 A21 A23 A25 A27 A29 A31 A33 A35 A37 A39 A41 A43 A45 A47 A49 A51 A53 A55 A57 A59 A61 A63 A65 A77 A79 A81 A83 A85 A87 A89 A93 A95 A97 A99 A101 A105 A107 A109 A111 A115 A117 A131 A136 A138 A140 A142 A144 A146 A156 A158 A160 A162 A164 A166 A168 A170 A172 A174 A176 A178 A180 A182 A184 A186 A188 A190 A192">
    <cfRule type="expression" dxfId="54" priority="64">
      <formula>$D3=0</formula>
    </cfRule>
  </conditionalFormatting>
  <conditionalFormatting sqref="A3 A9 A7 A18 A20 A24 A26 A28 A30 A32 A34 A36 A38 A40 A42 A44 A46 A48 A50 A52 A54 A56 A58 A60 A62 A64 A66:A76 A78 A80 A82 A84 A86 A88 A90 A94 A96 A98 A100 A102 A106 A108 A110 A112 A116 A118 A132 A137 A139 A141 A143 A145 A157 A159 A161 A165 A167 A169 A171 A173 A175 A177 A179 A181 A183 A185 A187 A191 A193 A195 A11:A14 A163 A189 A92 A104 A114 A128:A129 A126 A124 A120 A134:A135">
    <cfRule type="expression" dxfId="53" priority="57">
      <formula>$D3=0</formula>
    </cfRule>
  </conditionalFormatting>
  <conditionalFormatting sqref="A5">
    <cfRule type="expression" dxfId="52" priority="56">
      <formula>$D5=0</formula>
    </cfRule>
  </conditionalFormatting>
  <conditionalFormatting sqref="B16">
    <cfRule type="expression" dxfId="51" priority="50">
      <formula>AND(#REF!&gt;0,#REF!&lt;&gt;"")</formula>
    </cfRule>
    <cfRule type="expression" dxfId="50" priority="51">
      <formula>AND(#REF!=0,#REF!&lt;&gt;"")</formula>
    </cfRule>
  </conditionalFormatting>
  <conditionalFormatting sqref="A16">
    <cfRule type="expression" dxfId="49" priority="49">
      <formula>$D16=0</formula>
    </cfRule>
  </conditionalFormatting>
  <conditionalFormatting sqref="B13">
    <cfRule type="expression" dxfId="48" priority="47">
      <formula>AND(#REF!&gt;0,#REF!&lt;&gt;"")</formula>
    </cfRule>
    <cfRule type="expression" dxfId="47" priority="48">
      <formula>AND(#REF!=0,#REF!&lt;&gt;"")</formula>
    </cfRule>
  </conditionalFormatting>
  <conditionalFormatting sqref="B74">
    <cfRule type="expression" dxfId="46" priority="45">
      <formula>AND(#REF!&gt;0,#REF!&lt;&gt;"")</formula>
    </cfRule>
    <cfRule type="expression" dxfId="45" priority="46">
      <formula>AND(#REF!=0,#REF!&lt;&gt;"")</formula>
    </cfRule>
  </conditionalFormatting>
  <conditionalFormatting sqref="B70">
    <cfRule type="expression" dxfId="44" priority="43">
      <formula>AND(#REF!&gt;0,#REF!&lt;&gt;"")</formula>
    </cfRule>
    <cfRule type="expression" dxfId="43" priority="44">
      <formula>AND(#REF!=0,#REF!&lt;&gt;"")</formula>
    </cfRule>
  </conditionalFormatting>
  <conditionalFormatting sqref="B67:B69">
    <cfRule type="expression" dxfId="42" priority="41">
      <formula>AND(#REF!&gt;0,#REF!&lt;&gt;"")</formula>
    </cfRule>
    <cfRule type="expression" dxfId="41" priority="42">
      <formula>AND(#REF!=0,#REF!&lt;&gt;"")</formula>
    </cfRule>
  </conditionalFormatting>
  <conditionalFormatting sqref="A15">
    <cfRule type="expression" dxfId="40" priority="40">
      <formula>$D16=0</formula>
    </cfRule>
  </conditionalFormatting>
  <conditionalFormatting sqref="A194">
    <cfRule type="expression" dxfId="39" priority="39">
      <formula>$D195=0</formula>
    </cfRule>
  </conditionalFormatting>
  <conditionalFormatting sqref="A152">
    <cfRule type="expression" dxfId="38" priority="33">
      <formula>$D152=0</formula>
    </cfRule>
  </conditionalFormatting>
  <conditionalFormatting sqref="A147">
    <cfRule type="expression" dxfId="37" priority="31">
      <formula>$D147=0</formula>
    </cfRule>
  </conditionalFormatting>
  <conditionalFormatting sqref="A151">
    <cfRule type="expression" dxfId="36" priority="30">
      <formula>$D152=0</formula>
    </cfRule>
  </conditionalFormatting>
  <conditionalFormatting sqref="F149:XFD149">
    <cfRule type="expression" dxfId="35" priority="195">
      <formula>$D152=0</formula>
    </cfRule>
  </conditionalFormatting>
  <conditionalFormatting sqref="A149">
    <cfRule type="expression" dxfId="34" priority="27">
      <formula>$D149=0</formula>
    </cfRule>
  </conditionalFormatting>
  <conditionalFormatting sqref="A148">
    <cfRule type="expression" dxfId="33" priority="26">
      <formula>$D149=0</formula>
    </cfRule>
  </conditionalFormatting>
  <conditionalFormatting sqref="A91">
    <cfRule type="expression" dxfId="32" priority="22">
      <formula>$D92=0</formula>
    </cfRule>
  </conditionalFormatting>
  <conditionalFormatting sqref="B149">
    <cfRule type="expression" dxfId="31" priority="21">
      <formula>$D152=0</formula>
    </cfRule>
  </conditionalFormatting>
  <conditionalFormatting sqref="A103">
    <cfRule type="expression" dxfId="30" priority="20">
      <formula>$D104=0</formula>
    </cfRule>
  </conditionalFormatting>
  <conditionalFormatting sqref="A113">
    <cfRule type="expression" dxfId="29" priority="19">
      <formula>$D114=0</formula>
    </cfRule>
  </conditionalFormatting>
  <conditionalFormatting sqref="A119">
    <cfRule type="expression" dxfId="28" priority="14">
      <formula>$D120=0</formula>
    </cfRule>
  </conditionalFormatting>
  <conditionalFormatting sqref="A127">
    <cfRule type="expression" dxfId="27" priority="18">
      <formula>$D128=0</formula>
    </cfRule>
  </conditionalFormatting>
  <conditionalFormatting sqref="A125">
    <cfRule type="expression" dxfId="26" priority="17">
      <formula>$D126=0</formula>
    </cfRule>
  </conditionalFormatting>
  <conditionalFormatting sqref="A123">
    <cfRule type="expression" dxfId="25" priority="16">
      <formula>$D124=0</formula>
    </cfRule>
  </conditionalFormatting>
  <conditionalFormatting sqref="A121">
    <cfRule type="expression" dxfId="24" priority="15">
      <formula>$D122=0</formula>
    </cfRule>
  </conditionalFormatting>
  <conditionalFormatting sqref="A133">
    <cfRule type="expression" dxfId="23" priority="13">
      <formula>$D134=0</formula>
    </cfRule>
  </conditionalFormatting>
  <conditionalFormatting sqref="A130">
    <cfRule type="expression" dxfId="22" priority="12">
      <formula>$D130=0</formula>
    </cfRule>
  </conditionalFormatting>
  <conditionalFormatting sqref="A150">
    <cfRule type="expression" dxfId="21" priority="11">
      <formula>$D150=0</formula>
    </cfRule>
  </conditionalFormatting>
  <conditionalFormatting sqref="A22">
    <cfRule type="expression" dxfId="20" priority="8">
      <formula>$D22=0</formula>
    </cfRule>
  </conditionalFormatting>
  <conditionalFormatting sqref="B154:B155">
    <cfRule type="expression" dxfId="19" priority="6">
      <formula>AND(#REF!&gt;0,#REF!&lt;&gt;"")</formula>
    </cfRule>
    <cfRule type="expression" dxfId="18" priority="7">
      <formula>AND(#REF!=0,#REF!&lt;&gt;"")</formula>
    </cfRule>
  </conditionalFormatting>
  <conditionalFormatting sqref="A155">
    <cfRule type="expression" dxfId="17" priority="5">
      <formula>$D155=0</formula>
    </cfRule>
  </conditionalFormatting>
  <conditionalFormatting sqref="A154">
    <cfRule type="expression" dxfId="16" priority="4">
      <formula>$D155=0</formula>
    </cfRule>
  </conditionalFormatting>
  <conditionalFormatting sqref="B153">
    <cfRule type="expression" dxfId="15" priority="2">
      <formula>AND(#REF!&gt;0,#REF!&lt;&gt;"")</formula>
    </cfRule>
    <cfRule type="expression" dxfId="14" priority="3">
      <formula>AND(#REF!=0,#REF!&lt;&gt;"")</formula>
    </cfRule>
  </conditionalFormatting>
  <conditionalFormatting sqref="A153">
    <cfRule type="expression" dxfId="13" priority="1">
      <formula>$D153=0</formula>
    </cfRule>
  </conditionalFormatting>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drawing r:id="rId2"/>
  <legacyDrawingHF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3"/>
  <sheetViews>
    <sheetView zoomScaleNormal="100" zoomScalePageLayoutView="70" workbookViewId="0"/>
  </sheetViews>
  <sheetFormatPr defaultColWidth="9" defaultRowHeight="12.75" x14ac:dyDescent="0.2"/>
  <cols>
    <col min="1" max="1" width="76.75" style="9" customWidth="1"/>
    <col min="2" max="16384" width="9" style="24"/>
  </cols>
  <sheetData>
    <row r="1" spans="1:6" ht="15.75" x14ac:dyDescent="0.2">
      <c r="A1" s="70" t="s">
        <v>160</v>
      </c>
    </row>
    <row r="2" spans="1:6" x14ac:dyDescent="0.2">
      <c r="A2" s="90"/>
    </row>
    <row r="3" spans="1:6" x14ac:dyDescent="0.2">
      <c r="A3" s="90" t="str">
        <f>IF(TaskTable!$H$125=0,"","Lump Sum (LS) tasks will be invoiced based on the percent completion of the tasks.")</f>
        <v/>
      </c>
      <c r="B3" s="211" t="s">
        <v>368</v>
      </c>
      <c r="C3" s="211"/>
      <c r="D3" s="211"/>
      <c r="E3" s="211"/>
      <c r="F3" s="211"/>
    </row>
    <row r="4" spans="1:6" ht="27" customHeight="1" x14ac:dyDescent="0.2">
      <c r="A4" s="90" t="str">
        <f>IF(TaskTable!$H$126=0,"","Hourly tasks will be invoiced according to the hourly rate schedule in effect at the time services are provided. Actual invoiced amounts for Hourly (H) tasks will be based on the effort expended. ")</f>
        <v/>
      </c>
      <c r="B4" s="201"/>
      <c r="C4" s="201"/>
      <c r="D4" s="201"/>
      <c r="E4" s="201"/>
      <c r="F4" s="201"/>
    </row>
    <row r="5" spans="1:6" x14ac:dyDescent="0.2">
      <c r="A5" s="90" t="str">
        <f>IF(TaskTable!$H$127=0,"","Hourly Max (HM) tasks will be invoiced according to the hourly rate schedule in effect at the time services are provided.") &amp; IF(TaskTable!$H$127=0,"","Actual invoiced amounts for Hourly Max (HM) tasks will be based on the effort expended up to a maximum number of hours of KH staff effort included in that task.")</f>
        <v/>
      </c>
      <c r="B5" s="201"/>
      <c r="C5" s="201"/>
      <c r="D5" s="201"/>
      <c r="E5" s="201"/>
      <c r="F5" s="201"/>
    </row>
    <row r="6" spans="1:6" x14ac:dyDescent="0.2">
      <c r="A6" s="90"/>
    </row>
    <row r="7" spans="1:6" ht="38.25" x14ac:dyDescent="0.2">
      <c r="A7" s="90" t="s">
        <v>161</v>
      </c>
    </row>
    <row r="8" spans="1:6" x14ac:dyDescent="0.2">
      <c r="A8" s="90"/>
    </row>
    <row r="9" spans="1:6" ht="38.25" x14ac:dyDescent="0.2">
      <c r="A9" s="90" t="s">
        <v>163</v>
      </c>
    </row>
    <row r="10" spans="1:6" x14ac:dyDescent="0.2">
      <c r="A10" s="90"/>
    </row>
    <row r="11" spans="1:6" x14ac:dyDescent="0.2">
      <c r="A11" s="90" t="s">
        <v>162</v>
      </c>
    </row>
    <row r="12" spans="1:6" x14ac:dyDescent="0.2">
      <c r="A12" s="90"/>
    </row>
    <row r="13" spans="1:6" x14ac:dyDescent="0.2">
      <c r="A13" s="90" t="s">
        <v>210</v>
      </c>
    </row>
    <row r="14" spans="1:6" x14ac:dyDescent="0.2">
      <c r="A14" s="90"/>
    </row>
    <row r="15" spans="1:6" ht="25.5" x14ac:dyDescent="0.2">
      <c r="A15" s="90" t="s">
        <v>211</v>
      </c>
    </row>
    <row r="16" spans="1:6" x14ac:dyDescent="0.2">
      <c r="A16" s="90"/>
    </row>
    <row r="17" spans="1:6" x14ac:dyDescent="0.2">
      <c r="A17" s="90" t="str">
        <f>"This agreement is subject to, and only to, the" &amp; IF(Setup!$C$8="Original Contract"," attached Standard Provisions."," Original Agreement.")</f>
        <v>This agreement is subject to, and only to, the attached Standard Provisions.</v>
      </c>
      <c r="B17" s="211" t="s">
        <v>275</v>
      </c>
      <c r="C17" s="211"/>
      <c r="D17" s="211"/>
      <c r="E17" s="211"/>
      <c r="F17" s="211"/>
    </row>
    <row r="18" spans="1:6" x14ac:dyDescent="0.2">
      <c r="A18" s="90"/>
      <c r="B18" s="90"/>
      <c r="C18" s="90"/>
      <c r="D18" s="90"/>
      <c r="E18" s="90"/>
    </row>
    <row r="19" spans="1:6" x14ac:dyDescent="0.2">
      <c r="A19" s="90"/>
    </row>
    <row r="20" spans="1:6" x14ac:dyDescent="0.2">
      <c r="A20" s="90"/>
    </row>
    <row r="21" spans="1:6" x14ac:dyDescent="0.2">
      <c r="A21" s="90"/>
    </row>
    <row r="22" spans="1:6" x14ac:dyDescent="0.2">
      <c r="A22" s="90"/>
    </row>
    <row r="23" spans="1:6" x14ac:dyDescent="0.2">
      <c r="A23" s="50" t="s">
        <v>82</v>
      </c>
    </row>
    <row r="24" spans="1:6" x14ac:dyDescent="0.2">
      <c r="A24" s="90"/>
    </row>
    <row r="25" spans="1:6" x14ac:dyDescent="0.2">
      <c r="A25" s="90"/>
    </row>
    <row r="26" spans="1:6" x14ac:dyDescent="0.2">
      <c r="A26" s="90"/>
    </row>
    <row r="27" spans="1:6" x14ac:dyDescent="0.2">
      <c r="A27" s="90"/>
    </row>
    <row r="28" spans="1:6" x14ac:dyDescent="0.2">
      <c r="A28" s="90"/>
    </row>
    <row r="29" spans="1:6" x14ac:dyDescent="0.2">
      <c r="A29" s="90"/>
    </row>
    <row r="30" spans="1:6" x14ac:dyDescent="0.2">
      <c r="A30" s="90"/>
    </row>
    <row r="31" spans="1:6" x14ac:dyDescent="0.2">
      <c r="A31" s="90"/>
    </row>
    <row r="32" spans="1:6" x14ac:dyDescent="0.2">
      <c r="A32" s="90"/>
    </row>
    <row r="33" spans="1:1" x14ac:dyDescent="0.2">
      <c r="A33" s="90"/>
    </row>
    <row r="34" spans="1:1" x14ac:dyDescent="0.2">
      <c r="A34" s="90"/>
    </row>
    <row r="35" spans="1:1" x14ac:dyDescent="0.2">
      <c r="A35" s="90"/>
    </row>
    <row r="36" spans="1:1" x14ac:dyDescent="0.2">
      <c r="A36" s="90"/>
    </row>
    <row r="37" spans="1:1" x14ac:dyDescent="0.2">
      <c r="A37" s="90"/>
    </row>
    <row r="38" spans="1:1" x14ac:dyDescent="0.2">
      <c r="A38" s="90"/>
    </row>
    <row r="39" spans="1:1" x14ac:dyDescent="0.2">
      <c r="A39" s="90"/>
    </row>
    <row r="40" spans="1:1" x14ac:dyDescent="0.2">
      <c r="A40" s="90"/>
    </row>
    <row r="41" spans="1:1" x14ac:dyDescent="0.2">
      <c r="A41" s="90"/>
    </row>
    <row r="42" spans="1:1" x14ac:dyDescent="0.2">
      <c r="A42" s="90"/>
    </row>
    <row r="43" spans="1:1" x14ac:dyDescent="0.2">
      <c r="A43" s="90"/>
    </row>
    <row r="44" spans="1:1" x14ac:dyDescent="0.2">
      <c r="A44" s="90"/>
    </row>
    <row r="45" spans="1:1" x14ac:dyDescent="0.2">
      <c r="A45" s="90"/>
    </row>
    <row r="46" spans="1:1" x14ac:dyDescent="0.2">
      <c r="A46" s="90"/>
    </row>
    <row r="47" spans="1:1" x14ac:dyDescent="0.2">
      <c r="A47" s="90"/>
    </row>
    <row r="48" spans="1:1" x14ac:dyDescent="0.2">
      <c r="A48" s="90"/>
    </row>
    <row r="49" spans="1:1" x14ac:dyDescent="0.2">
      <c r="A49" s="90"/>
    </row>
    <row r="50" spans="1:1" x14ac:dyDescent="0.2">
      <c r="A50" s="90"/>
    </row>
    <row r="51" spans="1:1" x14ac:dyDescent="0.2">
      <c r="A51" s="90"/>
    </row>
    <row r="52" spans="1:1" x14ac:dyDescent="0.2">
      <c r="A52" s="90"/>
    </row>
    <row r="53" spans="1:1" x14ac:dyDescent="0.2">
      <c r="A53" s="90"/>
    </row>
  </sheetData>
  <mergeCells count="2">
    <mergeCell ref="B17:F17"/>
    <mergeCell ref="B3:F3"/>
  </mergeCells>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36"/>
  <sheetViews>
    <sheetView zoomScaleNormal="100" zoomScalePageLayoutView="70" workbookViewId="0"/>
  </sheetViews>
  <sheetFormatPr defaultColWidth="9" defaultRowHeight="12.75" x14ac:dyDescent="0.2"/>
  <cols>
    <col min="1" max="1" width="37.625" style="9" customWidth="1"/>
    <col min="2" max="2" width="37.625" style="24" customWidth="1"/>
    <col min="3" max="16384" width="9" style="24"/>
  </cols>
  <sheetData>
    <row r="1" spans="1:4" ht="15.75" x14ac:dyDescent="0.2">
      <c r="A1" s="70" t="s">
        <v>164</v>
      </c>
    </row>
    <row r="3" spans="1:4" ht="25.5" customHeight="1" x14ac:dyDescent="0.2">
      <c r="A3" s="212" t="s">
        <v>356</v>
      </c>
      <c r="B3" s="213"/>
    </row>
    <row r="4" spans="1:4" x14ac:dyDescent="0.2">
      <c r="A4" s="24"/>
    </row>
    <row r="5" spans="1:4" ht="38.25" customHeight="1" x14ac:dyDescent="0.2">
      <c r="A5" s="212" t="str">
        <f>IF(Retainer="Yes","If you wish to authorize us to proceed with this work please sign below and forward this agreement and the attached invoice to your accounting department with a request to pay a retainer in the amount indicated below.","")</f>
        <v>If you wish to authorize us to proceed with this work please sign below and forward this agreement and the attached invoice to your accounting department with a request to pay a retainer in the amount indicated below.</v>
      </c>
      <c r="B5" s="213"/>
    </row>
    <row r="6" spans="1:4" x14ac:dyDescent="0.2">
      <c r="A6" s="78"/>
      <c r="B6" s="78"/>
    </row>
    <row r="7" spans="1:4" x14ac:dyDescent="0.2">
      <c r="A7" s="100" t="str">
        <f>IF(Retainer="Yes","Retainer authorized for this project:  ","")</f>
        <v xml:space="preserve">Retainer authorized for this project:  </v>
      </c>
      <c r="B7" s="101">
        <f>IF(Retainer="Yes",IF(rngSubtotalFees&lt;=Setup!$D$31,rngSubtotalFees*Setup!$E$31,IF(AND(rngSubtotalFees&gt;Setup!$D$31,rngSubtotalFees&lt;=Setup!$D$32),ROUND(Setup!$E$32*rngSubtotalFees,-2),IF(rngSubtotalFees&gt;Setup!$D$32,ROUND(Setup!$E$33*(rngSubtotalFees-Setup!$D$32),-2)+Setup!$D$32*Setup!$E$32,0))),"")</f>
        <v>0</v>
      </c>
    </row>
    <row r="10" spans="1:4" x14ac:dyDescent="0.2">
      <c r="C10" s="114" t="str">
        <f>IF(Retainer="Yes","The retainer was calculated based on amount of the fees in the Task and Fee Summary table.","")</f>
        <v>The retainer was calculated based on amount of the fees in the Task and Fee Summary table.</v>
      </c>
      <c r="D10" s="23"/>
    </row>
    <row r="11" spans="1:4" x14ac:dyDescent="0.2">
      <c r="C11" s="23"/>
      <c r="D11" s="114" t="str">
        <f>IF(Retainer="Yes", "For contracts up to $"&amp;TEXT(Setup!$D$31,"#,##0")&amp;", the retainer is "&amp;TEXT(Setup!$E$31,"0%")&amp;" of the fees.","")</f>
        <v>For contracts up to $5,000, the retainer is 100% of the fees.</v>
      </c>
    </row>
    <row r="12" spans="1:4" x14ac:dyDescent="0.2">
      <c r="C12" s="23"/>
      <c r="D12" s="114" t="str">
        <f>IF(Retainer="Yes", "For contracts of $"&amp;TEXT(Setup!$D$31+1,"#,##0")&amp;" to $"&amp;TEXT(Setup!$D$32,"#,##0")&amp;", the retainer is "&amp;TEXT(Setup!$E$32,"0%")&amp;" of the fees.","")</f>
        <v>For contracts of $5,001 to $20,000, the retainer is 50% of the fees.</v>
      </c>
    </row>
    <row r="13" spans="1:4" x14ac:dyDescent="0.2">
      <c r="C13" s="23"/>
      <c r="D13" s="114" t="str">
        <f>IF(Retainer="Yes","For contracts over $"&amp;TEXT(Setup!$D$32,"#,##0")&amp;", the retainer is $"&amp;TEXT(ROUND(Setup!$D$32*Setup!$E$32,0),"#,##0")&amp;" + "&amp;TEXT(Setup!$E$33,"0%")&amp;" of the amount of fees over $"&amp;TEXT(Setup!$D$32,"#,##0")&amp;".","")</f>
        <v>For contracts over $20,000, the retainer is $10,000 + 20% of the amount of fees over $20,000.</v>
      </c>
    </row>
    <row r="14" spans="1:4" x14ac:dyDescent="0.2">
      <c r="C14" s="112" t="s">
        <v>492</v>
      </c>
      <c r="D14" s="204"/>
    </row>
    <row r="15" spans="1:4" x14ac:dyDescent="0.2">
      <c r="A15" s="9" t="s">
        <v>501</v>
      </c>
    </row>
    <row r="17" spans="1:3" x14ac:dyDescent="0.2">
      <c r="A17" s="106" t="s">
        <v>165</v>
      </c>
    </row>
    <row r="21" spans="1:3" x14ac:dyDescent="0.2">
      <c r="A21" s="24" t="str">
        <f>KHname1</f>
        <v>James R. Hall, P.E. (TX)</v>
      </c>
      <c r="B21" s="24" t="str">
        <f>KHname2</f>
        <v>Matthew A. Lucas, P.E. (TX)</v>
      </c>
    </row>
    <row r="22" spans="1:3" x14ac:dyDescent="0.2">
      <c r="A22" s="24" t="str">
        <f>KHtitle1</f>
        <v>Senior Vice President</v>
      </c>
      <c r="B22" s="24" t="str">
        <f>KHtitle2</f>
        <v>Vice President</v>
      </c>
    </row>
    <row r="25" spans="1:3" x14ac:dyDescent="0.2">
      <c r="A25" s="9" t="s">
        <v>276</v>
      </c>
    </row>
    <row r="27" spans="1:3" x14ac:dyDescent="0.2">
      <c r="A27" s="107" t="str">
        <f>ClientCompany</f>
        <v>ABC Developer, Inc.</v>
      </c>
      <c r="C27" s="125" t="s">
        <v>226</v>
      </c>
    </row>
    <row r="28" spans="1:3" x14ac:dyDescent="0.2">
      <c r="C28" s="125" t="s">
        <v>227</v>
      </c>
    </row>
    <row r="29" spans="1:3" ht="35.25" customHeight="1" x14ac:dyDescent="0.2">
      <c r="C29" s="125" t="s">
        <v>228</v>
      </c>
    </row>
    <row r="30" spans="1:3" x14ac:dyDescent="0.2">
      <c r="A30" s="77" t="s">
        <v>167</v>
      </c>
      <c r="C30" s="125" t="s">
        <v>229</v>
      </c>
    </row>
    <row r="31" spans="1:3" ht="35.25" customHeight="1" x14ac:dyDescent="0.2"/>
    <row r="32" spans="1:3" x14ac:dyDescent="0.2">
      <c r="A32" s="77" t="s">
        <v>166</v>
      </c>
    </row>
    <row r="33" spans="1:1" ht="35.25" customHeight="1" x14ac:dyDescent="0.2"/>
    <row r="34" spans="1:1" x14ac:dyDescent="0.2">
      <c r="A34" s="77" t="s">
        <v>44</v>
      </c>
    </row>
    <row r="35" spans="1:1" ht="35.25" customHeight="1" x14ac:dyDescent="0.2"/>
    <row r="36" spans="1:1" x14ac:dyDescent="0.2">
      <c r="A36" s="77" t="s">
        <v>302</v>
      </c>
    </row>
  </sheetData>
  <mergeCells count="2">
    <mergeCell ref="A3:B3"/>
    <mergeCell ref="A5:B5"/>
  </mergeCells>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2:C52"/>
  <sheetViews>
    <sheetView zoomScaleNormal="100" zoomScalePageLayoutView="70" workbookViewId="0"/>
  </sheetViews>
  <sheetFormatPr defaultColWidth="9" defaultRowHeight="12.75" x14ac:dyDescent="0.2"/>
  <cols>
    <col min="1" max="1" width="37.625" style="9" customWidth="1"/>
    <col min="2" max="2" width="37.625" style="24" customWidth="1"/>
    <col min="3" max="3" width="9" style="24"/>
    <col min="4" max="4" width="9" style="24" customWidth="1"/>
    <col min="5" max="16384" width="9" style="24"/>
  </cols>
  <sheetData>
    <row r="2" spans="1:2" ht="23.25" x14ac:dyDescent="0.2">
      <c r="A2" s="176" t="s">
        <v>340</v>
      </c>
      <c r="B2" s="177"/>
    </row>
    <row r="3" spans="1:2" ht="15.75" x14ac:dyDescent="0.2">
      <c r="A3" s="70"/>
    </row>
    <row r="4" spans="1:2" ht="15.75" x14ac:dyDescent="0.2">
      <c r="A4" s="70"/>
    </row>
    <row r="6" spans="1:2" x14ac:dyDescent="0.2">
      <c r="A6" s="9" t="str">
        <f>ClientName</f>
        <v>Ms. Jane Smith</v>
      </c>
      <c r="B6" s="76" t="str">
        <f ca="1">"Invoice No:           RET"&amp;INT(RAND()*1000000)</f>
        <v>Invoice No:           RET316733</v>
      </c>
    </row>
    <row r="7" spans="1:2" x14ac:dyDescent="0.2">
      <c r="A7" s="9" t="str">
        <f>ClientCompany</f>
        <v>ABC Developer, Inc.</v>
      </c>
      <c r="B7" s="76" t="str">
        <f ca="1">"Invoice Date:        "&amp;TEXT(LetterDate,"mm/dd/yyyy")</f>
        <v>Invoice Date:        01/20/2026</v>
      </c>
    </row>
    <row r="8" spans="1:2" x14ac:dyDescent="0.2">
      <c r="A8" s="9" t="str">
        <f>ClientAddress1</f>
        <v>700 Main Street</v>
      </c>
      <c r="B8" s="76"/>
    </row>
    <row r="9" spans="1:2" x14ac:dyDescent="0.2">
      <c r="A9" s="9" t="str">
        <f>ClientAddress2</f>
        <v>Suite 100</v>
      </c>
    </row>
    <row r="10" spans="1:2" x14ac:dyDescent="0.2">
      <c r="A10" s="9" t="str">
        <f>ClientAddressCity</f>
        <v>Dallas, Texas 77002</v>
      </c>
      <c r="B10" s="24" t="str">
        <f>"Project Manager:  "&amp;KHname2</f>
        <v>Project Manager:  Matthew A. Lucas, P.E. (TX)</v>
      </c>
    </row>
    <row r="14" spans="1:2" x14ac:dyDescent="0.2">
      <c r="A14" s="9" t="s">
        <v>341</v>
      </c>
    </row>
    <row r="15" spans="1:2" x14ac:dyDescent="0.2">
      <c r="A15" s="9" t="s">
        <v>342</v>
      </c>
    </row>
    <row r="16" spans="1:2" x14ac:dyDescent="0.2">
      <c r="A16" s="9" t="s">
        <v>343</v>
      </c>
    </row>
    <row r="17" spans="1:1" x14ac:dyDescent="0.2">
      <c r="A17" s="9" t="s">
        <v>344</v>
      </c>
    </row>
    <row r="18" spans="1:1" x14ac:dyDescent="0.2">
      <c r="A18" s="24"/>
    </row>
    <row r="19" spans="1:1" x14ac:dyDescent="0.2">
      <c r="A19" s="24" t="s">
        <v>345</v>
      </c>
    </row>
    <row r="20" spans="1:1" x14ac:dyDescent="0.2">
      <c r="A20" s="24"/>
    </row>
    <row r="21" spans="1:1" x14ac:dyDescent="0.2">
      <c r="A21" s="24"/>
    </row>
    <row r="22" spans="1:1" x14ac:dyDescent="0.2">
      <c r="A22" s="108"/>
    </row>
    <row r="23" spans="1:1" x14ac:dyDescent="0.2">
      <c r="A23" s="108"/>
    </row>
    <row r="26" spans="1:1" x14ac:dyDescent="0.2">
      <c r="A26" s="178" t="str">
        <f>"Please pay the following retainer authorized for this project:  "&amp;TEXT(rngRetainerAmt,"$#,##0.00")</f>
        <v>Please pay the following retainer authorized for this project:  $0.00</v>
      </c>
    </row>
    <row r="27" spans="1:1" x14ac:dyDescent="0.2">
      <c r="A27" s="178"/>
    </row>
    <row r="28" spans="1:1" x14ac:dyDescent="0.2">
      <c r="A28" s="78" t="str">
        <f>Desc1</f>
        <v>Agreement for Professional Services - Site Civil Engineering</v>
      </c>
    </row>
    <row r="29" spans="1:1" x14ac:dyDescent="0.2">
      <c r="A29" s="78" t="str">
        <f>Desc2</f>
        <v>Uptown Multifamily</v>
      </c>
    </row>
    <row r="30" spans="1:1" x14ac:dyDescent="0.2">
      <c r="A30" s="108" t="str">
        <f>Desc3</f>
        <v>Dallas, Dallas County, Texas</v>
      </c>
    </row>
    <row r="31" spans="1:1" x14ac:dyDescent="0.2">
      <c r="A31" s="178"/>
    </row>
    <row r="32" spans="1:1" x14ac:dyDescent="0.2">
      <c r="A32" s="178"/>
    </row>
    <row r="33" spans="1:3" x14ac:dyDescent="0.2">
      <c r="A33" s="181" t="s">
        <v>354</v>
      </c>
    </row>
    <row r="34" spans="1:3" x14ac:dyDescent="0.2">
      <c r="A34" s="178"/>
    </row>
    <row r="35" spans="1:3" x14ac:dyDescent="0.2">
      <c r="A35" s="178"/>
    </row>
    <row r="36" spans="1:3" x14ac:dyDescent="0.2">
      <c r="A36" s="178"/>
    </row>
    <row r="37" spans="1:3" x14ac:dyDescent="0.2">
      <c r="A37" s="178"/>
    </row>
    <row r="38" spans="1:3" x14ac:dyDescent="0.2">
      <c r="A38" s="178"/>
    </row>
    <row r="39" spans="1:3" x14ac:dyDescent="0.2">
      <c r="A39" s="178"/>
    </row>
    <row r="42" spans="1:3" x14ac:dyDescent="0.2">
      <c r="A42" s="24"/>
      <c r="C42" s="125"/>
    </row>
    <row r="43" spans="1:3" x14ac:dyDescent="0.2">
      <c r="A43" s="24" t="s">
        <v>346</v>
      </c>
      <c r="C43" s="125"/>
    </row>
    <row r="44" spans="1:3" x14ac:dyDescent="0.2">
      <c r="A44" s="179" t="s">
        <v>347</v>
      </c>
      <c r="C44" s="125"/>
    </row>
    <row r="45" spans="1:3" x14ac:dyDescent="0.2">
      <c r="A45" s="179" t="s">
        <v>351</v>
      </c>
    </row>
    <row r="46" spans="1:3" x14ac:dyDescent="0.2">
      <c r="A46" s="179" t="s">
        <v>350</v>
      </c>
    </row>
    <row r="47" spans="1:3" x14ac:dyDescent="0.2">
      <c r="A47" s="179" t="s">
        <v>348</v>
      </c>
    </row>
    <row r="48" spans="1:3" x14ac:dyDescent="0.2">
      <c r="A48" s="179"/>
    </row>
    <row r="49" spans="1:1" x14ac:dyDescent="0.2">
      <c r="A49" s="24" t="s">
        <v>349</v>
      </c>
    </row>
    <row r="50" spans="1:1" x14ac:dyDescent="0.2">
      <c r="A50" s="180" t="s">
        <v>352</v>
      </c>
    </row>
    <row r="51" spans="1:1" x14ac:dyDescent="0.2">
      <c r="A51" s="24"/>
    </row>
    <row r="52" spans="1:1" x14ac:dyDescent="0.2">
      <c r="A52" s="24"/>
    </row>
  </sheetData>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K25"/>
  <sheetViews>
    <sheetView zoomScaleNormal="100" zoomScalePageLayoutView="70" workbookViewId="0">
      <selection activeCell="D11" sqref="D11"/>
    </sheetView>
  </sheetViews>
  <sheetFormatPr defaultColWidth="9" defaultRowHeight="12.75" x14ac:dyDescent="0.2"/>
  <cols>
    <col min="1" max="1" width="32.5" style="9" customWidth="1"/>
    <col min="2" max="2" width="12.25" style="74" customWidth="1"/>
    <col min="3" max="8" width="9" style="24"/>
    <col min="9" max="9" width="18.75" style="24" customWidth="1"/>
    <col min="10" max="10" width="31.875" style="24" customWidth="1"/>
    <col min="11" max="11" width="12.25" style="24" customWidth="1"/>
    <col min="12" max="16384" width="9" style="24"/>
  </cols>
  <sheetData>
    <row r="1" spans="1:11" ht="15.75" x14ac:dyDescent="0.2">
      <c r="A1" s="70" t="s">
        <v>178</v>
      </c>
    </row>
    <row r="2" spans="1:11" s="85" customFormat="1" ht="15.75" x14ac:dyDescent="0.2">
      <c r="A2" s="83"/>
      <c r="B2" s="84"/>
      <c r="J2" s="125" t="s">
        <v>376</v>
      </c>
    </row>
    <row r="3" spans="1:11" s="85" customFormat="1" x14ac:dyDescent="0.2">
      <c r="B3" s="183" t="s">
        <v>379</v>
      </c>
      <c r="D3" s="125" t="s">
        <v>230</v>
      </c>
      <c r="K3" s="87" t="s">
        <v>379</v>
      </c>
    </row>
    <row r="4" spans="1:11" s="85" customFormat="1" x14ac:dyDescent="0.2">
      <c r="A4" s="86"/>
      <c r="D4" s="125" t="s">
        <v>375</v>
      </c>
      <c r="J4" s="86"/>
    </row>
    <row r="5" spans="1:11" x14ac:dyDescent="0.2">
      <c r="A5" s="9" t="s">
        <v>177</v>
      </c>
      <c r="B5" s="74" t="s">
        <v>574</v>
      </c>
      <c r="D5" s="125" t="s">
        <v>580</v>
      </c>
      <c r="J5" s="9" t="s">
        <v>177</v>
      </c>
      <c r="K5" s="74" t="s">
        <v>568</v>
      </c>
    </row>
    <row r="6" spans="1:11" x14ac:dyDescent="0.2">
      <c r="J6" s="9"/>
      <c r="K6" s="74"/>
    </row>
    <row r="7" spans="1:11" x14ac:dyDescent="0.2">
      <c r="A7" s="9" t="s">
        <v>373</v>
      </c>
      <c r="B7" s="74" t="s">
        <v>575</v>
      </c>
      <c r="J7" s="9" t="s">
        <v>373</v>
      </c>
      <c r="K7" s="74" t="s">
        <v>569</v>
      </c>
    </row>
    <row r="8" spans="1:11" x14ac:dyDescent="0.2">
      <c r="J8" s="9"/>
      <c r="K8" s="74"/>
    </row>
    <row r="9" spans="1:11" x14ac:dyDescent="0.2">
      <c r="A9" s="9" t="s">
        <v>371</v>
      </c>
      <c r="B9" s="74" t="s">
        <v>576</v>
      </c>
      <c r="J9" s="9" t="s">
        <v>371</v>
      </c>
      <c r="K9" s="74" t="s">
        <v>570</v>
      </c>
    </row>
    <row r="10" spans="1:11" x14ac:dyDescent="0.2">
      <c r="J10" s="9"/>
      <c r="K10" s="74"/>
    </row>
    <row r="11" spans="1:11" x14ac:dyDescent="0.2">
      <c r="A11" s="9" t="s">
        <v>372</v>
      </c>
      <c r="B11" s="74" t="s">
        <v>577</v>
      </c>
      <c r="J11" s="9" t="s">
        <v>372</v>
      </c>
      <c r="K11" s="74" t="s">
        <v>571</v>
      </c>
    </row>
    <row r="13" spans="1:11" x14ac:dyDescent="0.2">
      <c r="A13" s="9" t="s">
        <v>381</v>
      </c>
      <c r="B13" s="74" t="s">
        <v>574</v>
      </c>
      <c r="J13" s="9" t="s">
        <v>381</v>
      </c>
      <c r="K13" s="74" t="s">
        <v>572</v>
      </c>
    </row>
    <row r="14" spans="1:11" x14ac:dyDescent="0.2">
      <c r="J14" s="9"/>
      <c r="K14" s="74"/>
    </row>
    <row r="15" spans="1:11" x14ac:dyDescent="0.2">
      <c r="A15" s="9" t="s">
        <v>380</v>
      </c>
      <c r="B15" s="74" t="s">
        <v>578</v>
      </c>
      <c r="J15" s="9" t="s">
        <v>380</v>
      </c>
      <c r="K15" s="74" t="s">
        <v>561</v>
      </c>
    </row>
    <row r="16" spans="1:11" x14ac:dyDescent="0.2">
      <c r="J16" s="9"/>
      <c r="K16" s="74"/>
    </row>
    <row r="17" spans="1:11" x14ac:dyDescent="0.2">
      <c r="A17" s="9" t="s">
        <v>374</v>
      </c>
      <c r="B17" s="74" t="s">
        <v>573</v>
      </c>
      <c r="J17" s="9" t="s">
        <v>374</v>
      </c>
      <c r="K17" s="74" t="s">
        <v>573</v>
      </c>
    </row>
    <row r="18" spans="1:11" x14ac:dyDescent="0.2">
      <c r="J18" s="9"/>
      <c r="K18" s="74"/>
    </row>
    <row r="19" spans="1:11" x14ac:dyDescent="0.2">
      <c r="J19" s="9"/>
      <c r="K19" s="74"/>
    </row>
    <row r="20" spans="1:11" x14ac:dyDescent="0.2">
      <c r="J20" s="9"/>
      <c r="K20" s="74"/>
    </row>
    <row r="21" spans="1:11" x14ac:dyDescent="0.2">
      <c r="J21" s="9"/>
      <c r="K21" s="74"/>
    </row>
    <row r="22" spans="1:11" x14ac:dyDescent="0.2">
      <c r="J22" s="9"/>
      <c r="K22" s="74"/>
    </row>
    <row r="23" spans="1:11" ht="15.75" x14ac:dyDescent="0.25">
      <c r="A23" s="196" t="s">
        <v>562</v>
      </c>
      <c r="J23" s="196" t="s">
        <v>490</v>
      </c>
      <c r="K23" s="74"/>
    </row>
    <row r="24" spans="1:11" ht="15.75" x14ac:dyDescent="0.2">
      <c r="A24" s="195"/>
      <c r="J24" s="195"/>
    </row>
    <row r="25" spans="1:11" ht="15.75" x14ac:dyDescent="0.2">
      <c r="A25" s="195" t="s">
        <v>579</v>
      </c>
      <c r="J25" s="195" t="s">
        <v>432</v>
      </c>
    </row>
  </sheetData>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C53"/>
  <sheetViews>
    <sheetView topLeftCell="A3" zoomScaleNormal="100" zoomScalePageLayoutView="70" workbookViewId="0"/>
  </sheetViews>
  <sheetFormatPr defaultColWidth="9" defaultRowHeight="11.25" x14ac:dyDescent="0.2"/>
  <cols>
    <col min="1" max="1" width="95.625" style="96" customWidth="1"/>
    <col min="2" max="2" width="2.25" style="88" customWidth="1"/>
    <col min="3" max="16384" width="9" style="88"/>
  </cols>
  <sheetData>
    <row r="1" spans="1:3" ht="15.75" x14ac:dyDescent="0.2">
      <c r="A1" s="70" t="s">
        <v>168</v>
      </c>
      <c r="C1" s="129" t="s">
        <v>504</v>
      </c>
    </row>
    <row r="2" spans="1:3" x14ac:dyDescent="0.2">
      <c r="C2" s="129" t="s">
        <v>238</v>
      </c>
    </row>
    <row r="3" spans="1:3" ht="32.1" customHeight="1" x14ac:dyDescent="0.2">
      <c r="A3" s="96" t="s">
        <v>418</v>
      </c>
    </row>
    <row r="4" spans="1:3" ht="33.950000000000003" customHeight="1" x14ac:dyDescent="0.2">
      <c r="A4" s="96" t="str">
        <f>"for any Additional Services an amount based upon the Consultant’s then-current hourly rates plus"&amp;" an amount to cover certain direct expenses including telecommunications, in-house reproduction, postage, supplies, project related computer time, and local mileage.  Other direct expenses will be billed at "&amp;1+OtherExpPct&amp;" times cost."</f>
        <v>for any Additional Services an amount based upon the Consultant’s then-current hourly rates plus an amount to cover certain direct expenses including telecommunications, in-house reproduction, postage, supplies, project related computer time, and local mileage.  Other direct expenses will be billed at 1.15 times cost.</v>
      </c>
    </row>
    <row r="5" spans="1:3" ht="5.0999999999999996" customHeight="1" x14ac:dyDescent="0.2"/>
    <row r="6" spans="1:3" x14ac:dyDescent="0.2">
      <c r="A6" s="96" t="s">
        <v>402</v>
      </c>
    </row>
    <row r="7" spans="1:3" ht="24" customHeight="1" x14ac:dyDescent="0.2">
      <c r="A7" s="193" t="s">
        <v>389</v>
      </c>
    </row>
    <row r="8" spans="1:3" ht="24" customHeight="1" x14ac:dyDescent="0.2">
      <c r="A8" s="193" t="s">
        <v>390</v>
      </c>
    </row>
    <row r="9" spans="1:3" ht="24" customHeight="1" x14ac:dyDescent="0.2">
      <c r="A9" s="193" t="s">
        <v>391</v>
      </c>
    </row>
    <row r="10" spans="1:3" ht="15" customHeight="1" x14ac:dyDescent="0.2">
      <c r="A10" s="193" t="s">
        <v>392</v>
      </c>
    </row>
    <row r="11" spans="1:3" ht="24" customHeight="1" x14ac:dyDescent="0.2">
      <c r="A11" s="193" t="s">
        <v>393</v>
      </c>
    </row>
    <row r="12" spans="1:3" ht="24" customHeight="1" x14ac:dyDescent="0.2">
      <c r="A12" s="193" t="s">
        <v>394</v>
      </c>
    </row>
    <row r="13" spans="1:3" ht="15" customHeight="1" x14ac:dyDescent="0.2">
      <c r="A13" s="193" t="s">
        <v>395</v>
      </c>
    </row>
    <row r="14" spans="1:3" ht="24" customHeight="1" x14ac:dyDescent="0.2">
      <c r="A14" s="193" t="s">
        <v>396</v>
      </c>
    </row>
    <row r="15" spans="1:3" ht="5.0999999999999996" customHeight="1" x14ac:dyDescent="0.2"/>
    <row r="16" spans="1:3" ht="53.45" customHeight="1" x14ac:dyDescent="0.2">
      <c r="A16" s="96" t="s">
        <v>406</v>
      </c>
    </row>
    <row r="17" spans="1:1" ht="5.0999999999999996" customHeight="1" x14ac:dyDescent="0.2"/>
    <row r="18" spans="1:1" x14ac:dyDescent="0.2">
      <c r="A18" s="97" t="s">
        <v>403</v>
      </c>
    </row>
    <row r="19" spans="1:1" ht="66" customHeight="1" x14ac:dyDescent="0.2">
      <c r="A19" s="193" t="s">
        <v>397</v>
      </c>
    </row>
    <row r="20" spans="1:1" ht="24" customHeight="1" x14ac:dyDescent="0.2">
      <c r="A20" s="193" t="s">
        <v>169</v>
      </c>
    </row>
    <row r="21" spans="1:1" ht="36" customHeight="1" x14ac:dyDescent="0.2">
      <c r="A21" s="193" t="s">
        <v>170</v>
      </c>
    </row>
    <row r="22" spans="1:1" ht="36" customHeight="1" x14ac:dyDescent="0.2">
      <c r="A22" s="193" t="s">
        <v>171</v>
      </c>
    </row>
    <row r="23" spans="1:1" ht="42" customHeight="1" x14ac:dyDescent="0.2">
      <c r="A23" s="193" t="s">
        <v>405</v>
      </c>
    </row>
    <row r="24" spans="1:1" ht="5.0999999999999996" customHeight="1" x14ac:dyDescent="0.2">
      <c r="A24" s="193"/>
    </row>
    <row r="25" spans="1:1" ht="105.95" customHeight="1" x14ac:dyDescent="0.2">
      <c r="A25" s="96" t="s">
        <v>404</v>
      </c>
    </row>
    <row r="27" spans="1:1" ht="63.95" customHeight="1" x14ac:dyDescent="0.2">
      <c r="A27" s="96" t="s">
        <v>398</v>
      </c>
    </row>
    <row r="28" spans="1:1" ht="5.0999999999999996" customHeight="1" x14ac:dyDescent="0.2"/>
    <row r="29" spans="1:1" ht="54" customHeight="1" x14ac:dyDescent="0.2">
      <c r="A29" s="96" t="s">
        <v>413</v>
      </c>
    </row>
    <row r="30" spans="1:1" ht="5.0999999999999996" customHeight="1" x14ac:dyDescent="0.2"/>
    <row r="31" spans="1:1" ht="44.1" customHeight="1" x14ac:dyDescent="0.2">
      <c r="A31" s="96" t="s">
        <v>412</v>
      </c>
    </row>
    <row r="32" spans="1:1" ht="5.0999999999999996" customHeight="1" x14ac:dyDescent="0.2"/>
    <row r="33" spans="1:1" ht="156" customHeight="1" x14ac:dyDescent="0.2">
      <c r="A33" s="96" t="s">
        <v>407</v>
      </c>
    </row>
    <row r="34" spans="1:1" ht="5.0999999999999996" customHeight="1" x14ac:dyDescent="0.2"/>
    <row r="35" spans="1:1" ht="26.1" customHeight="1" x14ac:dyDescent="0.2">
      <c r="A35" s="96" t="s">
        <v>408</v>
      </c>
    </row>
    <row r="36" spans="1:1" ht="54" customHeight="1" x14ac:dyDescent="0.2">
      <c r="A36" s="96" t="s">
        <v>409</v>
      </c>
    </row>
    <row r="37" spans="1:1" ht="5.0999999999999996" customHeight="1" x14ac:dyDescent="0.2"/>
    <row r="38" spans="1:1" ht="51" customHeight="1" x14ac:dyDescent="0.2">
      <c r="A38" s="96" t="s">
        <v>502</v>
      </c>
    </row>
    <row r="39" spans="1:1" ht="5.0999999999999996" customHeight="1" x14ac:dyDescent="0.2"/>
    <row r="40" spans="1:1" ht="42" customHeight="1" x14ac:dyDescent="0.2">
      <c r="A40" s="96" t="s">
        <v>419</v>
      </c>
    </row>
    <row r="41" spans="1:1" ht="5.0999999999999996" customHeight="1" x14ac:dyDescent="0.2"/>
    <row r="42" spans="1:1" ht="55.5" customHeight="1" x14ac:dyDescent="0.2">
      <c r="A42" s="96" t="s">
        <v>411</v>
      </c>
    </row>
    <row r="43" spans="1:1" ht="5.0999999999999996" customHeight="1" x14ac:dyDescent="0.2"/>
    <row r="44" spans="1:1" x14ac:dyDescent="0.2">
      <c r="A44" s="96" t="s">
        <v>410</v>
      </c>
    </row>
    <row r="45" spans="1:1" ht="33.950000000000003" customHeight="1" x14ac:dyDescent="0.2">
      <c r="A45" s="194" t="s">
        <v>399</v>
      </c>
    </row>
    <row r="46" spans="1:1" ht="63.95" customHeight="1" x14ac:dyDescent="0.2">
      <c r="A46" s="194" t="s">
        <v>400</v>
      </c>
    </row>
    <row r="47" spans="1:1" ht="54" customHeight="1" x14ac:dyDescent="0.2">
      <c r="A47" s="194" t="s">
        <v>401</v>
      </c>
    </row>
    <row r="48" spans="1:1" ht="5.0999999999999996" customHeight="1" x14ac:dyDescent="0.2"/>
    <row r="49" spans="1:1" ht="84" customHeight="1" x14ac:dyDescent="0.2">
      <c r="A49" s="96" t="s">
        <v>414</v>
      </c>
    </row>
    <row r="50" spans="1:1" ht="5.0999999999999996" customHeight="1" x14ac:dyDescent="0.2"/>
    <row r="51" spans="1:1" ht="44.1" customHeight="1" x14ac:dyDescent="0.2">
      <c r="A51" s="96" t="s">
        <v>415</v>
      </c>
    </row>
    <row r="52" spans="1:1" ht="5.0999999999999996" customHeight="1" x14ac:dyDescent="0.2"/>
    <row r="53" spans="1:1" ht="84" customHeight="1" x14ac:dyDescent="0.2">
      <c r="A53" s="96" t="s">
        <v>416</v>
      </c>
    </row>
  </sheetData>
  <sheetProtection sheet="1" objects="1" scenarios="1"/>
  <pageMargins left="1" right="1" top="1" bottom="0.75" header="0.5" footer="0.2"/>
  <pageSetup orientation="portrait" r:id="rId1"/>
  <headerFooter>
    <oddHeader>&amp;L&amp;G&amp;C&amp;"-,Bold"&amp;20  &amp;R&amp;"-,Italic"&amp;10
Page &amp;P of &amp;N</oddHeader>
    <oddFooter>&amp;L&amp;"Arial,Regular"&amp;9&amp;K04+00013455 Noel Road, Two Galleria Office Tower, Suite 700, Dallas, TX 75240&amp;R&amp;9 &amp;K04+000972 770 1300   |   kimley-horn.com</oddFooter>
    <firstHeader>&amp;L&amp;G</firstHeader>
    <firstFooter>&amp;L&amp;10&amp;K04+000 12750 Merit Drive, Suite 1000,Dallas, TX 75251 &amp;R&amp;10&amp;K04+000 972 770 1300   |   kimley-horn.com</firstFooter>
  </headerFooter>
  <rowBreaks count="1" manualBreakCount="1">
    <brk id="25" man="1"/>
  </row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405A0-C853-4175-B72C-4AC43DF24B86}">
  <sheetPr codeName="Sheet13"/>
  <dimension ref="A1:C17"/>
  <sheetViews>
    <sheetView workbookViewId="0">
      <selection activeCell="C18" sqref="C18"/>
    </sheetView>
  </sheetViews>
  <sheetFormatPr defaultRowHeight="14.25" x14ac:dyDescent="0.2"/>
  <cols>
    <col min="1" max="1" width="19.625" customWidth="1"/>
    <col min="2" max="2" width="15.125" bestFit="1" customWidth="1"/>
    <col min="3" max="3" width="54.875" bestFit="1" customWidth="1"/>
  </cols>
  <sheetData>
    <row r="1" spans="1:3" x14ac:dyDescent="0.2">
      <c r="A1" s="208" t="s">
        <v>505</v>
      </c>
      <c r="B1" s="207" t="s">
        <v>522</v>
      </c>
      <c r="C1" s="207" t="s">
        <v>523</v>
      </c>
    </row>
    <row r="2" spans="1:3" ht="15" thickBot="1" x14ac:dyDescent="0.25">
      <c r="A2" s="205" t="s">
        <v>506</v>
      </c>
      <c r="B2" s="205" t="s">
        <v>524</v>
      </c>
      <c r="C2" s="205" t="s">
        <v>525</v>
      </c>
    </row>
    <row r="3" spans="1:3" ht="15" thickBot="1" x14ac:dyDescent="0.25">
      <c r="A3" s="205" t="s">
        <v>507</v>
      </c>
      <c r="B3" s="205" t="s">
        <v>539</v>
      </c>
      <c r="C3" s="205" t="s">
        <v>526</v>
      </c>
    </row>
    <row r="4" spans="1:3" ht="15" thickBot="1" x14ac:dyDescent="0.25">
      <c r="A4" s="205" t="s">
        <v>508</v>
      </c>
      <c r="B4" s="205" t="s">
        <v>540</v>
      </c>
      <c r="C4" s="206" t="s">
        <v>527</v>
      </c>
    </row>
    <row r="5" spans="1:3" ht="15" thickBot="1" x14ac:dyDescent="0.25">
      <c r="A5" s="205" t="s">
        <v>509</v>
      </c>
      <c r="B5" s="205" t="s">
        <v>541</v>
      </c>
      <c r="C5" s="206" t="s">
        <v>528</v>
      </c>
    </row>
    <row r="6" spans="1:3" ht="15" thickBot="1" x14ac:dyDescent="0.25">
      <c r="A6" s="205" t="s">
        <v>510</v>
      </c>
      <c r="B6" s="205" t="s">
        <v>542</v>
      </c>
      <c r="C6" s="206" t="s">
        <v>529</v>
      </c>
    </row>
    <row r="7" spans="1:3" ht="15" thickBot="1" x14ac:dyDescent="0.25">
      <c r="A7" s="205" t="s">
        <v>511</v>
      </c>
      <c r="B7" s="205" t="s">
        <v>221</v>
      </c>
      <c r="C7" s="206" t="s">
        <v>383</v>
      </c>
    </row>
    <row r="8" spans="1:3" ht="15" thickBot="1" x14ac:dyDescent="0.25">
      <c r="A8" s="205" t="s">
        <v>512</v>
      </c>
      <c r="B8" s="205" t="s">
        <v>543</v>
      </c>
      <c r="C8" s="206" t="s">
        <v>530</v>
      </c>
    </row>
    <row r="9" spans="1:3" ht="15" thickBot="1" x14ac:dyDescent="0.25">
      <c r="A9" s="205" t="s">
        <v>513</v>
      </c>
      <c r="B9" s="205" t="s">
        <v>544</v>
      </c>
      <c r="C9" s="206" t="s">
        <v>531</v>
      </c>
    </row>
    <row r="10" spans="1:3" ht="15" thickBot="1" x14ac:dyDescent="0.25">
      <c r="A10" s="205" t="s">
        <v>514</v>
      </c>
      <c r="B10" s="205" t="s">
        <v>545</v>
      </c>
      <c r="C10" s="206" t="s">
        <v>532</v>
      </c>
    </row>
    <row r="11" spans="1:3" ht="15" thickBot="1" x14ac:dyDescent="0.25">
      <c r="A11" s="205" t="s">
        <v>515</v>
      </c>
      <c r="B11" s="205" t="s">
        <v>546</v>
      </c>
      <c r="C11" s="206" t="s">
        <v>533</v>
      </c>
    </row>
    <row r="12" spans="1:3" ht="15" thickBot="1" x14ac:dyDescent="0.25">
      <c r="A12" s="205" t="s">
        <v>516</v>
      </c>
      <c r="B12" s="205" t="s">
        <v>547</v>
      </c>
      <c r="C12" s="206" t="s">
        <v>534</v>
      </c>
    </row>
    <row r="13" spans="1:3" ht="15" thickBot="1" x14ac:dyDescent="0.25">
      <c r="A13" s="205" t="s">
        <v>517</v>
      </c>
      <c r="B13" s="205" t="s">
        <v>548</v>
      </c>
      <c r="C13" s="206" t="s">
        <v>535</v>
      </c>
    </row>
    <row r="14" spans="1:3" ht="15" thickBot="1" x14ac:dyDescent="0.25">
      <c r="A14" s="205" t="s">
        <v>518</v>
      </c>
      <c r="B14" s="205" t="s">
        <v>549</v>
      </c>
      <c r="C14" s="206" t="s">
        <v>536</v>
      </c>
    </row>
    <row r="15" spans="1:3" ht="15" thickBot="1" x14ac:dyDescent="0.25">
      <c r="A15" s="205" t="s">
        <v>519</v>
      </c>
      <c r="B15" s="205" t="s">
        <v>550</v>
      </c>
      <c r="C15" s="206" t="s">
        <v>537</v>
      </c>
    </row>
    <row r="16" spans="1:3" ht="15" thickBot="1" x14ac:dyDescent="0.25">
      <c r="A16" s="205" t="s">
        <v>520</v>
      </c>
      <c r="B16" s="205" t="s">
        <v>551</v>
      </c>
      <c r="C16" s="206" t="s">
        <v>558</v>
      </c>
    </row>
    <row r="17" spans="1:3" ht="15" thickBot="1" x14ac:dyDescent="0.25">
      <c r="A17" s="206" t="s">
        <v>521</v>
      </c>
      <c r="B17" s="205" t="s">
        <v>552</v>
      </c>
      <c r="C17" s="206" t="s">
        <v>538</v>
      </c>
    </row>
  </sheetData>
  <pageMargins left="0.7" right="0.7" top="0.75" bottom="0.75" header="0.3" footer="0.3"/>
  <pageSetup orientation="portrait" r:id="rId1"/>
  <headerFooter>
    <oddFooter>&amp;L&amp;"Arial,Regular"&amp;9&amp;K04+00013455 Noel Road, Two Galleria Office Tower, Suite 700, Dallas, TX 75240&amp;R&amp;9 &amp;K04+000972 770 1300   |   kimley-horn.com</oddFoot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E52"/>
  <sheetViews>
    <sheetView topLeftCell="A16" workbookViewId="0">
      <selection activeCell="D20" sqref="D20"/>
    </sheetView>
  </sheetViews>
  <sheetFormatPr defaultColWidth="11.5" defaultRowHeight="14.25" x14ac:dyDescent="0.2"/>
  <cols>
    <col min="1" max="1" width="2.125" style="95" customWidth="1"/>
    <col min="2" max="2" width="9.625" style="94" customWidth="1"/>
    <col min="3" max="3" width="11.5" style="95"/>
    <col min="4" max="4" width="54.75" style="128" customWidth="1"/>
    <col min="6" max="16384" width="11.5" style="95"/>
  </cols>
  <sheetData>
    <row r="1" spans="2:4" s="78" customFormat="1" ht="15.75" x14ac:dyDescent="0.2">
      <c r="B1" s="93" t="s">
        <v>233</v>
      </c>
      <c r="D1" s="9"/>
    </row>
    <row r="2" spans="2:4" s="78" customFormat="1" ht="12.75" x14ac:dyDescent="0.2">
      <c r="B2" s="108"/>
      <c r="D2" s="9"/>
    </row>
    <row r="3" spans="2:4" s="78" customFormat="1" ht="12.75" x14ac:dyDescent="0.2">
      <c r="B3" s="109" t="s">
        <v>44</v>
      </c>
      <c r="C3" s="78" t="s">
        <v>235</v>
      </c>
      <c r="D3" s="9" t="s">
        <v>234</v>
      </c>
    </row>
    <row r="4" spans="2:4" s="78" customFormat="1" ht="51" x14ac:dyDescent="0.2">
      <c r="B4" s="127">
        <v>42381</v>
      </c>
      <c r="C4" s="78" t="s">
        <v>236</v>
      </c>
      <c r="D4" s="9" t="s">
        <v>237</v>
      </c>
    </row>
    <row r="5" spans="2:4" s="78" customFormat="1" ht="51" x14ac:dyDescent="0.2">
      <c r="B5" s="127">
        <v>42383</v>
      </c>
      <c r="C5" s="78" t="s">
        <v>236</v>
      </c>
      <c r="D5" s="9" t="s">
        <v>268</v>
      </c>
    </row>
    <row r="6" spans="2:4" s="78" customFormat="1" ht="12.75" x14ac:dyDescent="0.2">
      <c r="B6" s="127">
        <v>42387</v>
      </c>
      <c r="C6" s="78" t="s">
        <v>236</v>
      </c>
      <c r="D6" s="9" t="s">
        <v>270</v>
      </c>
    </row>
    <row r="7" spans="2:4" s="78" customFormat="1" ht="51" x14ac:dyDescent="0.2">
      <c r="B7" s="127">
        <v>42401</v>
      </c>
      <c r="C7" s="78" t="s">
        <v>278</v>
      </c>
      <c r="D7" s="9" t="s">
        <v>279</v>
      </c>
    </row>
    <row r="8" spans="2:4" s="78" customFormat="1" ht="12.75" x14ac:dyDescent="0.2">
      <c r="B8" s="127">
        <v>42461</v>
      </c>
      <c r="C8" s="78" t="s">
        <v>236</v>
      </c>
      <c r="D8" s="9" t="s">
        <v>316</v>
      </c>
    </row>
    <row r="9" spans="2:4" s="78" customFormat="1" ht="12.75" x14ac:dyDescent="0.2">
      <c r="B9" s="127">
        <v>42461</v>
      </c>
      <c r="C9" s="78" t="s">
        <v>236</v>
      </c>
      <c r="D9" s="9" t="s">
        <v>337</v>
      </c>
    </row>
    <row r="10" spans="2:4" s="78" customFormat="1" ht="12.75" x14ac:dyDescent="0.2">
      <c r="B10" s="127">
        <v>42473</v>
      </c>
      <c r="C10" s="78" t="s">
        <v>236</v>
      </c>
      <c r="D10" s="9" t="s">
        <v>353</v>
      </c>
    </row>
    <row r="11" spans="2:4" s="78" customFormat="1" ht="12.75" x14ac:dyDescent="0.2">
      <c r="B11" s="127">
        <v>42955</v>
      </c>
      <c r="C11" s="78" t="s">
        <v>236</v>
      </c>
      <c r="D11" s="9" t="s">
        <v>384</v>
      </c>
    </row>
    <row r="12" spans="2:4" s="78" customFormat="1" ht="12.75" x14ac:dyDescent="0.2">
      <c r="B12" s="127">
        <v>43137</v>
      </c>
      <c r="C12" s="78" t="s">
        <v>236</v>
      </c>
      <c r="D12" s="9" t="s">
        <v>417</v>
      </c>
    </row>
    <row r="13" spans="2:4" s="78" customFormat="1" ht="127.5" x14ac:dyDescent="0.2">
      <c r="B13" s="127">
        <v>44050</v>
      </c>
      <c r="C13" s="78" t="s">
        <v>236</v>
      </c>
      <c r="D13" s="9" t="s">
        <v>458</v>
      </c>
    </row>
    <row r="14" spans="2:4" s="78" customFormat="1" ht="12.75" x14ac:dyDescent="0.2">
      <c r="B14" s="127">
        <v>44084</v>
      </c>
      <c r="C14" s="78" t="s">
        <v>236</v>
      </c>
      <c r="D14" s="9" t="s">
        <v>491</v>
      </c>
    </row>
    <row r="15" spans="2:4" s="78" customFormat="1" ht="38.25" x14ac:dyDescent="0.2">
      <c r="B15" s="127">
        <v>44116</v>
      </c>
      <c r="C15" s="78" t="s">
        <v>236</v>
      </c>
      <c r="D15" s="9" t="s">
        <v>493</v>
      </c>
    </row>
    <row r="16" spans="2:4" s="78" customFormat="1" ht="38.25" x14ac:dyDescent="0.2">
      <c r="B16" s="127">
        <v>44173</v>
      </c>
      <c r="C16" s="78" t="s">
        <v>278</v>
      </c>
      <c r="D16" s="9" t="s">
        <v>503</v>
      </c>
    </row>
    <row r="17" spans="2:4" s="78" customFormat="1" ht="25.5" x14ac:dyDescent="0.2">
      <c r="B17" s="209">
        <v>44211</v>
      </c>
      <c r="C17" s="78" t="s">
        <v>553</v>
      </c>
      <c r="D17" s="9" t="s">
        <v>554</v>
      </c>
    </row>
    <row r="18" spans="2:4" s="78" customFormat="1" ht="25.5" x14ac:dyDescent="0.2">
      <c r="B18" s="127">
        <v>44251</v>
      </c>
      <c r="C18" s="78" t="s">
        <v>236</v>
      </c>
      <c r="D18" s="9" t="s">
        <v>557</v>
      </c>
    </row>
    <row r="19" spans="2:4" s="78" customFormat="1" ht="51" x14ac:dyDescent="0.2">
      <c r="B19" s="127">
        <v>44426</v>
      </c>
      <c r="C19" s="78" t="s">
        <v>565</v>
      </c>
      <c r="D19" s="9" t="s">
        <v>567</v>
      </c>
    </row>
    <row r="20" spans="2:4" s="78" customFormat="1" ht="38.25" x14ac:dyDescent="0.2">
      <c r="B20" s="127">
        <v>44563</v>
      </c>
      <c r="C20" s="78" t="s">
        <v>565</v>
      </c>
      <c r="D20" s="9" t="s">
        <v>590</v>
      </c>
    </row>
    <row r="21" spans="2:4" s="78" customFormat="1" ht="12.75" x14ac:dyDescent="0.2">
      <c r="B21" s="117"/>
      <c r="D21" s="9"/>
    </row>
    <row r="22" spans="2:4" s="78" customFormat="1" ht="12.75" x14ac:dyDescent="0.2">
      <c r="B22" s="82"/>
      <c r="D22" s="9"/>
    </row>
    <row r="23" spans="2:4" s="78" customFormat="1" ht="12.75" x14ac:dyDescent="0.2">
      <c r="B23" s="82"/>
      <c r="D23" s="9"/>
    </row>
    <row r="24" spans="2:4" s="78" customFormat="1" ht="12.75" x14ac:dyDescent="0.2">
      <c r="B24" s="82"/>
      <c r="D24" s="9"/>
    </row>
    <row r="25" spans="2:4" s="78" customFormat="1" ht="12.75" x14ac:dyDescent="0.2">
      <c r="B25" s="82"/>
      <c r="D25" s="9"/>
    </row>
    <row r="26" spans="2:4" s="78" customFormat="1" ht="12.75" x14ac:dyDescent="0.2">
      <c r="B26" s="9"/>
      <c r="D26" s="9"/>
    </row>
    <row r="27" spans="2:4" s="78" customFormat="1" ht="12.75" x14ac:dyDescent="0.2">
      <c r="B27" s="118"/>
      <c r="D27" s="9"/>
    </row>
    <row r="28" spans="2:4" s="78" customFormat="1" ht="12.75" x14ac:dyDescent="0.2">
      <c r="B28" s="109"/>
      <c r="D28" s="9"/>
    </row>
    <row r="29" spans="2:4" s="78" customFormat="1" ht="12.75" x14ac:dyDescent="0.2">
      <c r="B29" s="109"/>
      <c r="D29" s="9"/>
    </row>
    <row r="30" spans="2:4" s="78" customFormat="1" ht="12.75" x14ac:dyDescent="0.2">
      <c r="B30" s="110"/>
      <c r="D30" s="9"/>
    </row>
    <row r="31" spans="2:4" s="78" customFormat="1" ht="15.75" x14ac:dyDescent="0.2">
      <c r="B31" s="111"/>
      <c r="D31" s="9"/>
    </row>
    <row r="32" spans="2:4" s="78" customFormat="1" ht="12.75" x14ac:dyDescent="0.2">
      <c r="B32" s="110"/>
      <c r="D32" s="9"/>
    </row>
    <row r="33" spans="2:4" s="78" customFormat="1" ht="12.75" x14ac:dyDescent="0.2">
      <c r="B33" s="109"/>
      <c r="D33" s="9"/>
    </row>
    <row r="34" spans="2:4" s="78" customFormat="1" ht="12.75" x14ac:dyDescent="0.2">
      <c r="B34" s="109"/>
      <c r="D34" s="9"/>
    </row>
    <row r="35" spans="2:4" s="78" customFormat="1" ht="12.75" x14ac:dyDescent="0.2">
      <c r="B35" s="109"/>
      <c r="D35" s="9"/>
    </row>
    <row r="36" spans="2:4" s="78" customFormat="1" ht="12.75" x14ac:dyDescent="0.2">
      <c r="B36" s="109"/>
      <c r="D36" s="9"/>
    </row>
    <row r="37" spans="2:4" s="78" customFormat="1" ht="12.75" x14ac:dyDescent="0.2">
      <c r="B37" s="109"/>
      <c r="D37" s="9"/>
    </row>
    <row r="38" spans="2:4" s="78" customFormat="1" ht="12.75" x14ac:dyDescent="0.2">
      <c r="B38" s="109"/>
      <c r="D38" s="9"/>
    </row>
    <row r="39" spans="2:4" s="78" customFormat="1" ht="12.75" x14ac:dyDescent="0.2">
      <c r="B39" s="109"/>
      <c r="D39" s="9"/>
    </row>
    <row r="40" spans="2:4" s="78" customFormat="1" ht="12.75" x14ac:dyDescent="0.2">
      <c r="B40" s="109"/>
      <c r="D40" s="9"/>
    </row>
    <row r="41" spans="2:4" s="78" customFormat="1" ht="12.75" x14ac:dyDescent="0.2">
      <c r="B41" s="109"/>
      <c r="D41" s="9"/>
    </row>
    <row r="42" spans="2:4" s="78" customFormat="1" ht="12.75" x14ac:dyDescent="0.2">
      <c r="B42" s="109"/>
      <c r="D42" s="9"/>
    </row>
    <row r="43" spans="2:4" s="78" customFormat="1" ht="12.75" x14ac:dyDescent="0.2">
      <c r="B43" s="109"/>
      <c r="D43" s="9"/>
    </row>
    <row r="44" spans="2:4" s="78" customFormat="1" ht="12.75" x14ac:dyDescent="0.2">
      <c r="B44" s="108"/>
      <c r="D44" s="9"/>
    </row>
    <row r="45" spans="2:4" s="78" customFormat="1" ht="15.75" x14ac:dyDescent="0.2">
      <c r="B45" s="111"/>
      <c r="D45" s="9"/>
    </row>
    <row r="46" spans="2:4" s="78" customFormat="1" ht="12.75" x14ac:dyDescent="0.2">
      <c r="B46" s="110"/>
      <c r="D46" s="9"/>
    </row>
    <row r="47" spans="2:4" s="78" customFormat="1" ht="12.75" x14ac:dyDescent="0.2">
      <c r="B47" s="109"/>
      <c r="D47" s="9"/>
    </row>
    <row r="48" spans="2:4" s="78" customFormat="1" ht="14.25" customHeight="1" x14ac:dyDescent="0.2">
      <c r="B48" s="109"/>
      <c r="D48" s="9"/>
    </row>
    <row r="49" spans="2:4" s="78" customFormat="1" ht="12.75" x14ac:dyDescent="0.2">
      <c r="B49" s="108"/>
      <c r="D49" s="9"/>
    </row>
    <row r="50" spans="2:4" s="78" customFormat="1" ht="12.75" x14ac:dyDescent="0.2">
      <c r="B50" s="108"/>
      <c r="D50" s="9"/>
    </row>
    <row r="51" spans="2:4" s="78" customFormat="1" ht="12.75" x14ac:dyDescent="0.2">
      <c r="B51" s="108"/>
      <c r="D51" s="9"/>
    </row>
    <row r="52" spans="2:4" s="78" customFormat="1" ht="12.75" x14ac:dyDescent="0.2">
      <c r="B52" s="108"/>
      <c r="D52" s="9"/>
    </row>
  </sheetData>
  <pageMargins left="0.7" right="0.7" top="0.75" bottom="0.75" header="0.3" footer="0.3"/>
  <pageSetup orientation="portrait" horizontalDpi="1200" verticalDpi="1200" r:id="rId1"/>
  <headerFooter>
    <oddFooter>&amp;L&amp;"Arial,Regular"&amp;9&amp;K04+00013455 Noel Road, Two Galleria Office Tower, Suite 700, Dallas, TX 75240&amp;R&amp;9 &amp;K04+000972 770 1300   |   kimley-horn.com</oddFoot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7035D-36CA-42EF-91B9-19511A6E7FD5}">
  <dimension ref="A1"/>
  <sheetViews>
    <sheetView workbookViewId="0"/>
  </sheetViews>
  <sheetFormatPr defaultRowHeight="14.2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PublishingExpiration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6207E05CB329D4A8F1CFBE3CB45D0C3" ma:contentTypeVersion="1" ma:contentTypeDescription="Create a new document." ma:contentTypeScope="" ma:versionID="318a22a61f2f664ab7b78d1d629092be">
  <xsd:schema xmlns:xsd="http://www.w3.org/2001/XMLSchema" xmlns:xs="http://www.w3.org/2001/XMLSchema" xmlns:p="http://schemas.microsoft.com/office/2006/metadata/properties" xmlns:ns1="http://schemas.microsoft.com/sharepoint/v3" targetNamespace="http://schemas.microsoft.com/office/2006/metadata/properties" ma:root="true" ma:fieldsID="ded79842d4747cc85621c7c303666abe"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EDAE47-5584-4CA3-B29D-681401C382B2}">
  <ds:schemaRefs>
    <ds:schemaRef ds:uri="http://schemas.microsoft.com/sharepoint/v3/contenttype/forms"/>
  </ds:schemaRefs>
</ds:datastoreItem>
</file>

<file path=customXml/itemProps2.xml><?xml version="1.0" encoding="utf-8"?>
<ds:datastoreItem xmlns:ds="http://schemas.openxmlformats.org/officeDocument/2006/customXml" ds:itemID="{12CE357D-1E4E-4613-BC43-711A82A4BCC0}">
  <ds:schemaRefs>
    <ds:schemaRef ds:uri="http://purl.org/dc/terms/"/>
    <ds:schemaRef ds:uri="http://schemas.microsoft.com/office/infopath/2007/PartnerControls"/>
    <ds:schemaRef ds:uri="http://schemas.microsoft.com/office/2006/documentManagement/types"/>
    <ds:schemaRef ds:uri="http://www.w3.org/XML/1998/namespace"/>
    <ds:schemaRef ds:uri="http://purl.org/dc/dcmitype/"/>
    <ds:schemaRef ds:uri="http://schemas.microsoft.com/sharepoint/v3"/>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BCD68B73-9FA5-48A1-8B38-260FBF9CC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37</vt:i4>
      </vt:variant>
    </vt:vector>
  </HeadingPairs>
  <TitlesOfParts>
    <vt:vector size="51" baseType="lpstr">
      <vt:lpstr>Instructions</vt:lpstr>
      <vt:lpstr>Setup</vt:lpstr>
      <vt:lpstr>ProjectUnderstanding</vt:lpstr>
      <vt:lpstr>TaskTable</vt:lpstr>
      <vt:lpstr>Notes</vt:lpstr>
      <vt:lpstr>TaskDescriptions</vt:lpstr>
      <vt:lpstr>Billing</vt:lpstr>
      <vt:lpstr>Authorization</vt:lpstr>
      <vt:lpstr>RetainerInvc</vt:lpstr>
      <vt:lpstr>RateSched</vt:lpstr>
      <vt:lpstr>StdProvisions</vt:lpstr>
      <vt:lpstr>OfficeList</vt:lpstr>
      <vt:lpstr>Revisions</vt:lpstr>
      <vt:lpstr>Sheet1</vt:lpstr>
      <vt:lpstr>Acres</vt:lpstr>
      <vt:lpstr>ClientAddress1</vt:lpstr>
      <vt:lpstr>ClientAddress2</vt:lpstr>
      <vt:lpstr>ClientAddressCity</vt:lpstr>
      <vt:lpstr>ClientCompany</vt:lpstr>
      <vt:lpstr>ClientName</vt:lpstr>
      <vt:lpstr>Desc1</vt:lpstr>
      <vt:lpstr>Desc2</vt:lpstr>
      <vt:lpstr>Desc3</vt:lpstr>
      <vt:lpstr>EstHrlyRt</vt:lpstr>
      <vt:lpstr>ExpensePct</vt:lpstr>
      <vt:lpstr>KHAddress</vt:lpstr>
      <vt:lpstr>KHname1</vt:lpstr>
      <vt:lpstr>KHname2</vt:lpstr>
      <vt:lpstr>KHOffice</vt:lpstr>
      <vt:lpstr>KHphone</vt:lpstr>
      <vt:lpstr>KHtitle1</vt:lpstr>
      <vt:lpstr>KHtitle2</vt:lpstr>
      <vt:lpstr>LetterDate</vt:lpstr>
      <vt:lpstr>OtherExpPct</vt:lpstr>
      <vt:lpstr>Authorization!Print_Area</vt:lpstr>
      <vt:lpstr>Billing!Print_Area</vt:lpstr>
      <vt:lpstr>Notes!Print_Area</vt:lpstr>
      <vt:lpstr>RateSched!Print_Area</vt:lpstr>
      <vt:lpstr>StdProvisions!Print_Area</vt:lpstr>
      <vt:lpstr>TaskDescriptions!Print_Area</vt:lpstr>
      <vt:lpstr>TaskTable!Print_Area</vt:lpstr>
      <vt:lpstr>TaskTable!Print_Titles</vt:lpstr>
      <vt:lpstr>Retainer</vt:lpstr>
      <vt:lpstr>rngRetainerAmt</vt:lpstr>
      <vt:lpstr>rngRetainerText</vt:lpstr>
      <vt:lpstr>rngSubtotalFees</vt:lpstr>
      <vt:lpstr>Salutation</vt:lpstr>
      <vt:lpstr>ProjectUnderstanding!TaskDesc</vt:lpstr>
      <vt:lpstr>TaskDesc</vt:lpstr>
      <vt:lpstr>TaskFeeTable</vt:lpstr>
      <vt:lpstr>TaxPct</vt:lpstr>
    </vt:vector>
  </TitlesOfParts>
  <Company>Kimley-Horn and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KHA_User</dc:creator>
  <cp:lastModifiedBy>Dahlen, Brian</cp:lastModifiedBy>
  <cp:lastPrinted>2022-01-03T01:14:55Z</cp:lastPrinted>
  <dcterms:created xsi:type="dcterms:W3CDTF">2013-06-11T19:38:41Z</dcterms:created>
  <dcterms:modified xsi:type="dcterms:W3CDTF">2026-01-20T10:46:17Z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0x01010096207E05CB329D4A8F1CFBE3CB45D0C3</vt:lpwstr>
  </property>
</Properties>
</file>